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mi\Desktop\1\"/>
    </mc:Choice>
  </mc:AlternateContent>
  <xr:revisionPtr revIDLastSave="0" documentId="13_ncr:1_{A796568F-B6F2-451E-A03A-B229FDA70D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TC" sheetId="2" r:id="rId2"/>
    <sheet name="TTC_Graph" sheetId="4" r:id="rId3"/>
    <sheet name="Graph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2" l="1"/>
  <c r="AD3" i="2"/>
  <c r="AD4" i="2"/>
  <c r="AD5" i="2"/>
  <c r="AD6" i="2"/>
  <c r="AD7" i="2"/>
  <c r="AD8" i="2"/>
  <c r="AD9" i="2"/>
  <c r="AD10" i="2"/>
  <c r="AD11" i="2"/>
  <c r="AD12" i="2"/>
  <c r="AD13" i="2"/>
  <c r="AD2" i="2"/>
  <c r="AC3" i="2"/>
  <c r="AC5" i="2"/>
  <c r="AC6" i="2"/>
  <c r="AC7" i="2"/>
  <c r="AC8" i="2"/>
  <c r="AC9" i="2"/>
  <c r="AC10" i="2"/>
  <c r="AC11" i="2"/>
  <c r="AC12" i="2"/>
  <c r="AC13" i="2"/>
  <c r="AC2" i="2"/>
  <c r="AB3" i="2"/>
  <c r="AB4" i="2"/>
  <c r="AB5" i="2"/>
  <c r="AB6" i="2"/>
  <c r="AB7" i="2"/>
  <c r="AB8" i="2"/>
  <c r="AB9" i="2"/>
  <c r="AB10" i="2"/>
  <c r="AB11" i="2"/>
  <c r="AB12" i="2"/>
  <c r="AB13" i="2"/>
  <c r="AB2" i="2"/>
  <c r="AA3" i="2"/>
  <c r="AA4" i="2"/>
  <c r="AA5" i="2"/>
  <c r="AA6" i="2"/>
  <c r="AA7" i="2"/>
  <c r="AA8" i="2"/>
  <c r="AA9" i="2"/>
  <c r="AA10" i="2"/>
  <c r="AA11" i="2"/>
  <c r="AA12" i="2"/>
  <c r="AA13" i="2"/>
  <c r="AA2" i="2"/>
  <c r="Z3" i="2"/>
  <c r="Z4" i="2"/>
  <c r="Z5" i="2"/>
  <c r="Z6" i="2"/>
  <c r="Z7" i="2"/>
  <c r="Z8" i="2"/>
  <c r="Z9" i="2"/>
  <c r="Z10" i="2"/>
  <c r="Z11" i="2"/>
  <c r="Z12" i="2"/>
  <c r="Z13" i="2"/>
  <c r="Z2" i="2"/>
  <c r="Y3" i="2"/>
  <c r="Y4" i="2"/>
  <c r="Y5" i="2"/>
  <c r="Y6" i="2"/>
  <c r="Y7" i="2"/>
  <c r="Y8" i="2"/>
  <c r="Y9" i="2"/>
  <c r="Y10" i="2"/>
  <c r="Y11" i="2"/>
  <c r="Y12" i="2"/>
  <c r="Y13" i="2"/>
  <c r="Y2" i="2"/>
  <c r="X3" i="2"/>
  <c r="X4" i="2"/>
  <c r="X5" i="2"/>
  <c r="X6" i="2"/>
  <c r="X7" i="2"/>
  <c r="X8" i="2"/>
  <c r="X9" i="2"/>
  <c r="X10" i="2"/>
  <c r="X11" i="2"/>
  <c r="X12" i="2"/>
  <c r="X13" i="2"/>
  <c r="X2" i="2"/>
  <c r="W12" i="2"/>
  <c r="W3" i="2"/>
  <c r="W4" i="2"/>
  <c r="W5" i="2"/>
  <c r="W6" i="2"/>
  <c r="W7" i="2"/>
  <c r="W8" i="2"/>
  <c r="W9" i="2"/>
  <c r="W10" i="2"/>
  <c r="W11" i="2"/>
  <c r="W13" i="2"/>
  <c r="W2" i="2"/>
  <c r="V3" i="2"/>
  <c r="V4" i="2"/>
  <c r="V5" i="2"/>
  <c r="V6" i="2"/>
  <c r="V7" i="2"/>
  <c r="V8" i="2"/>
  <c r="V9" i="2"/>
  <c r="V10" i="2"/>
  <c r="V11" i="2"/>
  <c r="V12" i="2"/>
  <c r="V13" i="2"/>
  <c r="V2" i="2"/>
  <c r="U2" i="2"/>
  <c r="U3" i="2"/>
  <c r="U4" i="2"/>
  <c r="U5" i="2"/>
  <c r="U6" i="2"/>
  <c r="U7" i="2"/>
  <c r="U8" i="2"/>
  <c r="U9" i="2"/>
  <c r="U10" i="2"/>
  <c r="U11" i="2"/>
  <c r="U12" i="2"/>
  <c r="U13" i="2"/>
  <c r="T3" i="2"/>
  <c r="T4" i="2"/>
  <c r="T5" i="2"/>
  <c r="T6" i="2"/>
  <c r="T7" i="2"/>
  <c r="T8" i="2"/>
  <c r="T9" i="2"/>
  <c r="T10" i="2"/>
  <c r="T11" i="2"/>
  <c r="T12" i="2"/>
  <c r="T13" i="2"/>
  <c r="T2" i="2"/>
  <c r="S2" i="2"/>
  <c r="S3" i="2"/>
  <c r="S4" i="2"/>
  <c r="S5" i="2"/>
  <c r="S6" i="2"/>
  <c r="S7" i="2"/>
  <c r="S8" i="2"/>
  <c r="S9" i="2"/>
  <c r="S10" i="2"/>
  <c r="S11" i="2"/>
  <c r="S12" i="2"/>
  <c r="S13" i="2"/>
  <c r="R3" i="2"/>
  <c r="R4" i="2"/>
  <c r="R5" i="2"/>
  <c r="R6" i="2"/>
  <c r="R7" i="2"/>
  <c r="R8" i="2"/>
  <c r="R9" i="2"/>
  <c r="R10" i="2"/>
  <c r="R11" i="2"/>
  <c r="R12" i="2"/>
  <c r="R13" i="2"/>
  <c r="R2" i="2"/>
  <c r="Q3" i="2"/>
  <c r="Q4" i="2"/>
  <c r="Q5" i="2"/>
  <c r="Q6" i="2"/>
  <c r="Q7" i="2"/>
  <c r="Q8" i="2"/>
  <c r="Q9" i="2"/>
  <c r="Q10" i="2"/>
  <c r="Q11" i="2"/>
  <c r="Q12" i="2"/>
  <c r="Q13" i="2"/>
  <c r="Q2" i="2"/>
  <c r="P3" i="2"/>
  <c r="P4" i="2"/>
  <c r="P5" i="2"/>
  <c r="P6" i="2"/>
  <c r="P7" i="2"/>
  <c r="P8" i="2"/>
  <c r="P9" i="2"/>
  <c r="P10" i="2"/>
  <c r="P11" i="2"/>
  <c r="P12" i="2"/>
  <c r="P13" i="2"/>
  <c r="P2" i="2"/>
  <c r="O3" i="2"/>
  <c r="O4" i="2"/>
  <c r="O5" i="2"/>
  <c r="O6" i="2"/>
  <c r="O7" i="2"/>
  <c r="O8" i="2"/>
  <c r="O9" i="2"/>
  <c r="O10" i="2"/>
  <c r="O11" i="2"/>
  <c r="O12" i="2"/>
  <c r="O13" i="2"/>
  <c r="O2" i="2"/>
  <c r="Q3" i="1"/>
  <c r="Q4" i="1"/>
  <c r="Q5" i="1"/>
  <c r="Q6" i="1"/>
  <c r="Q7" i="1"/>
  <c r="Q8" i="1"/>
  <c r="Q9" i="1"/>
  <c r="Q10" i="1"/>
  <c r="Q11" i="1"/>
  <c r="Q12" i="1"/>
  <c r="Q13" i="1"/>
  <c r="Q2" i="1"/>
</calcChain>
</file>

<file path=xl/sharedStrings.xml><?xml version="1.0" encoding="utf-8"?>
<sst xmlns="http://schemas.openxmlformats.org/spreadsheetml/2006/main" count="385" uniqueCount="60">
  <si>
    <t>ID</t>
  </si>
  <si>
    <t>B</t>
  </si>
  <si>
    <t>G</t>
  </si>
  <si>
    <t>E</t>
  </si>
  <si>
    <t>First preferencec</t>
  </si>
  <si>
    <t>H</t>
  </si>
  <si>
    <t>D</t>
  </si>
  <si>
    <t>Second</t>
  </si>
  <si>
    <t>C</t>
  </si>
  <si>
    <t>J</t>
  </si>
  <si>
    <t>L</t>
  </si>
  <si>
    <t>F</t>
  </si>
  <si>
    <t>topic you got</t>
  </si>
  <si>
    <t>A</t>
  </si>
  <si>
    <t>I</t>
  </si>
  <si>
    <t>Name</t>
  </si>
  <si>
    <t>Akanksha</t>
  </si>
  <si>
    <t>Claudia</t>
  </si>
  <si>
    <t>Indynage</t>
  </si>
  <si>
    <t>Justin</t>
  </si>
  <si>
    <t>Valentine</t>
  </si>
  <si>
    <t>Mayssa</t>
  </si>
  <si>
    <t>Joni</t>
  </si>
  <si>
    <t>Mirzakalonboy</t>
  </si>
  <si>
    <t>Sibel</t>
  </si>
  <si>
    <t>Boukye ter Hoeven</t>
  </si>
  <si>
    <t>Thijs Vlonk</t>
  </si>
  <si>
    <t>Number of the preference</t>
  </si>
  <si>
    <t>Bonus points</t>
  </si>
  <si>
    <t>Third</t>
  </si>
  <si>
    <t>K</t>
  </si>
  <si>
    <t>Fourth</t>
  </si>
  <si>
    <t>Fifth</t>
  </si>
  <si>
    <t>sixth</t>
  </si>
  <si>
    <t>Seventh</t>
  </si>
  <si>
    <t>Eighth</t>
  </si>
  <si>
    <t>nineth</t>
  </si>
  <si>
    <t>tenth</t>
  </si>
  <si>
    <t>eleventh</t>
  </si>
  <si>
    <t>twovelveth</t>
  </si>
  <si>
    <t xml:space="preserve">K </t>
  </si>
  <si>
    <t>Nobody</t>
  </si>
  <si>
    <t>Student</t>
  </si>
  <si>
    <t>Topic owned</t>
  </si>
  <si>
    <t>Pointer topic</t>
  </si>
  <si>
    <t>Next student (owner of pointer topic)</t>
  </si>
  <si>
    <t>Hop1</t>
  </si>
  <si>
    <t>Hop2</t>
  </si>
  <si>
    <t>Hop3</t>
  </si>
  <si>
    <t>Hop4</t>
  </si>
  <si>
    <t>Hop5</t>
  </si>
  <si>
    <t>Hop6</t>
  </si>
  <si>
    <t>Hop7</t>
  </si>
  <si>
    <t>Hop8</t>
  </si>
  <si>
    <t>Hop9</t>
  </si>
  <si>
    <t>Hop10</t>
  </si>
  <si>
    <t>Hop11</t>
  </si>
  <si>
    <t>Hop12</t>
  </si>
  <si>
    <t>Cycle length</t>
  </si>
  <si>
    <t>Cycle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</si>
</sst>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114300</xdr:colOff>
      <xdr:row>14</xdr:row>
      <xdr:rowOff>45720</xdr:rowOff>
    </xdr:from>
    <xdr:to>
      <xdr:col>15</xdr:col>
      <xdr:colOff>2133600</xdr:colOff>
      <xdr:row>23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4D7468-CDC6-9B7F-35D0-DF9D5CDD117F}"/>
            </a:ext>
          </a:extLst>
        </xdr:cNvPr>
        <xdr:cNvSpPr txBox="1"/>
      </xdr:nvSpPr>
      <xdr:spPr>
        <a:xfrm>
          <a:off x="11170920" y="2606040"/>
          <a:ext cx="2019300" cy="163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If </a:t>
          </a:r>
          <a:r>
            <a:rPr lang="en-US" b="1"/>
            <a:t>P = the same student in Column A</a:t>
          </a:r>
          <a:r>
            <a:rPr lang="en-US"/>
            <a:t>, that’s a </a:t>
          </a:r>
          <a:r>
            <a:rPr lang="en-US" b="1"/>
            <a:t>self-cycle</a:t>
          </a:r>
          <a:r>
            <a:rPr lang="en-US"/>
            <a:t> (Pareto OK).</a:t>
          </a:r>
        </a:p>
        <a:p>
          <a:r>
            <a:rPr lang="en-US"/>
            <a:t>If </a:t>
          </a:r>
          <a:r>
            <a:rPr lang="en-US" b="1"/>
            <a:t>P ≠ the student</a:t>
          </a:r>
          <a:r>
            <a:rPr lang="en-US"/>
            <a:t>, you’ll trace further in the Hop columns to see if it loops back or forms a larger cycle.</a:t>
          </a:r>
        </a:p>
        <a:p>
          <a:endParaRPr lang="en-US" sz="1100"/>
        </a:p>
      </xdr:txBody>
    </xdr:sp>
    <xdr:clientData/>
  </xdr:twoCellAnchor>
  <xdr:twoCellAnchor>
    <xdr:from>
      <xdr:col>28</xdr:col>
      <xdr:colOff>91440</xdr:colOff>
      <xdr:row>13</xdr:row>
      <xdr:rowOff>137160</xdr:rowOff>
    </xdr:from>
    <xdr:to>
      <xdr:col>30</xdr:col>
      <xdr:colOff>15240</xdr:colOff>
      <xdr:row>20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F5F974-8FE3-457E-E188-726E15662FAB}"/>
            </a:ext>
          </a:extLst>
        </xdr:cNvPr>
        <xdr:cNvSpPr txBox="1"/>
      </xdr:nvSpPr>
      <xdr:spPr>
        <a:xfrm>
          <a:off x="27721560" y="2514600"/>
          <a:ext cx="2240280" cy="1173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If </a:t>
          </a:r>
          <a:r>
            <a:rPr lang="en-US" b="1"/>
            <a:t>AC = 1</a:t>
          </a:r>
          <a:r>
            <a:rPr lang="en-US"/>
            <a:t>, the student points to their own topic → Pareto OK.</a:t>
          </a:r>
        </a:p>
        <a:p>
          <a:r>
            <a:rPr lang="en-US"/>
            <a:t>If </a:t>
          </a:r>
          <a:r>
            <a:rPr lang="en-US" b="1"/>
            <a:t>AC &gt; 1</a:t>
          </a:r>
          <a:r>
            <a:rPr lang="en-US"/>
            <a:t>, the student is part of a larger cycle → allocation not Pareto-efficient.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86360</xdr:rowOff>
    </xdr:from>
    <xdr:to>
      <xdr:col>3</xdr:col>
      <xdr:colOff>76200</xdr:colOff>
      <xdr:row>5</xdr:row>
      <xdr:rowOff>101600</xdr:rowOff>
    </xdr:to>
    <xdr:sp macro="" textlink="">
      <xdr:nvSpPr>
        <xdr:cNvPr id="163" name="Student_Joni">
          <a:extLst>
            <a:ext uri="{FF2B5EF4-FFF2-40B4-BE49-F238E27FC236}">
              <a16:creationId xmlns:a16="http://schemas.microsoft.com/office/drawing/2014/main" id="{D67644B7-B5FC-29A5-9ED2-309546EA608E}"/>
            </a:ext>
          </a:extLst>
        </xdr:cNvPr>
        <xdr:cNvSpPr/>
      </xdr:nvSpPr>
      <xdr:spPr>
        <a:xfrm>
          <a:off x="635000" y="635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Joni</a:t>
          </a:r>
        </a:p>
      </xdr:txBody>
    </xdr:sp>
    <xdr:clientData/>
  </xdr:twoCellAnchor>
  <xdr:twoCellAnchor>
    <xdr:from>
      <xdr:col>6</xdr:col>
      <xdr:colOff>152400</xdr:colOff>
      <xdr:row>3</xdr:row>
      <xdr:rowOff>86360</xdr:rowOff>
    </xdr:from>
    <xdr:to>
      <xdr:col>7</xdr:col>
      <xdr:colOff>50800</xdr:colOff>
      <xdr:row>6</xdr:row>
      <xdr:rowOff>45720</xdr:rowOff>
    </xdr:to>
    <xdr:sp macro="" textlink="">
      <xdr:nvSpPr>
        <xdr:cNvPr id="164" name="Topic_B">
          <a:extLst>
            <a:ext uri="{FF2B5EF4-FFF2-40B4-BE49-F238E27FC236}">
              <a16:creationId xmlns:a16="http://schemas.microsoft.com/office/drawing/2014/main" id="{95FCF386-4D5D-C81B-E6F0-8B98567A0C1B}"/>
            </a:ext>
          </a:extLst>
        </xdr:cNvPr>
        <xdr:cNvSpPr/>
      </xdr:nvSpPr>
      <xdr:spPr>
        <a:xfrm>
          <a:off x="3810000" y="635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</a:t>
          </a:r>
        </a:p>
      </xdr:txBody>
    </xdr:sp>
    <xdr:clientData/>
  </xdr:twoCellAnchor>
  <xdr:twoCellAnchor>
    <xdr:from>
      <xdr:col>1</xdr:col>
      <xdr:colOff>25400</xdr:colOff>
      <xdr:row>7</xdr:row>
      <xdr:rowOff>116840</xdr:rowOff>
    </xdr:from>
    <xdr:to>
      <xdr:col>3</xdr:col>
      <xdr:colOff>76200</xdr:colOff>
      <xdr:row>9</xdr:row>
      <xdr:rowOff>132080</xdr:rowOff>
    </xdr:to>
    <xdr:sp macro="" textlink="">
      <xdr:nvSpPr>
        <xdr:cNvPr id="165" name="Student_Mirzakalonboy">
          <a:extLst>
            <a:ext uri="{FF2B5EF4-FFF2-40B4-BE49-F238E27FC236}">
              <a16:creationId xmlns:a16="http://schemas.microsoft.com/office/drawing/2014/main" id="{49351ADE-31F5-6A95-1CC2-365D869106F3}"/>
            </a:ext>
          </a:extLst>
        </xdr:cNvPr>
        <xdr:cNvSpPr/>
      </xdr:nvSpPr>
      <xdr:spPr>
        <a:xfrm>
          <a:off x="635000" y="1397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Mirzakalonboy</a:t>
          </a:r>
        </a:p>
      </xdr:txBody>
    </xdr:sp>
    <xdr:clientData/>
  </xdr:twoCellAnchor>
  <xdr:twoCellAnchor>
    <xdr:from>
      <xdr:col>6</xdr:col>
      <xdr:colOff>152400</xdr:colOff>
      <xdr:row>7</xdr:row>
      <xdr:rowOff>116840</xdr:rowOff>
    </xdr:from>
    <xdr:to>
      <xdr:col>7</xdr:col>
      <xdr:colOff>50800</xdr:colOff>
      <xdr:row>10</xdr:row>
      <xdr:rowOff>76200</xdr:rowOff>
    </xdr:to>
    <xdr:sp macro="" textlink="">
      <xdr:nvSpPr>
        <xdr:cNvPr id="166" name="Topic_G">
          <a:extLst>
            <a:ext uri="{FF2B5EF4-FFF2-40B4-BE49-F238E27FC236}">
              <a16:creationId xmlns:a16="http://schemas.microsoft.com/office/drawing/2014/main" id="{52D06337-6D90-7C3D-4946-AE5D2EBBF399}"/>
            </a:ext>
          </a:extLst>
        </xdr:cNvPr>
        <xdr:cNvSpPr/>
      </xdr:nvSpPr>
      <xdr:spPr>
        <a:xfrm>
          <a:off x="3810000" y="1397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</a:t>
          </a:r>
        </a:p>
      </xdr:txBody>
    </xdr:sp>
    <xdr:clientData/>
  </xdr:twoCellAnchor>
  <xdr:twoCellAnchor>
    <xdr:from>
      <xdr:col>1</xdr:col>
      <xdr:colOff>25400</xdr:colOff>
      <xdr:row>11</xdr:row>
      <xdr:rowOff>147320</xdr:rowOff>
    </xdr:from>
    <xdr:to>
      <xdr:col>3</xdr:col>
      <xdr:colOff>76200</xdr:colOff>
      <xdr:row>13</xdr:row>
      <xdr:rowOff>162560</xdr:rowOff>
    </xdr:to>
    <xdr:sp macro="" textlink="">
      <xdr:nvSpPr>
        <xdr:cNvPr id="167" name="Student_Nobody">
          <a:extLst>
            <a:ext uri="{FF2B5EF4-FFF2-40B4-BE49-F238E27FC236}">
              <a16:creationId xmlns:a16="http://schemas.microsoft.com/office/drawing/2014/main" id="{C1FAD9DD-CE34-09BC-C67F-68D084CB5D46}"/>
            </a:ext>
          </a:extLst>
        </xdr:cNvPr>
        <xdr:cNvSpPr/>
      </xdr:nvSpPr>
      <xdr:spPr>
        <a:xfrm>
          <a:off x="635000" y="2159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Nobody</a:t>
          </a:r>
        </a:p>
      </xdr:txBody>
    </xdr:sp>
    <xdr:clientData/>
  </xdr:twoCellAnchor>
  <xdr:twoCellAnchor>
    <xdr:from>
      <xdr:col>6</xdr:col>
      <xdr:colOff>152400</xdr:colOff>
      <xdr:row>11</xdr:row>
      <xdr:rowOff>147320</xdr:rowOff>
    </xdr:from>
    <xdr:to>
      <xdr:col>7</xdr:col>
      <xdr:colOff>50800</xdr:colOff>
      <xdr:row>14</xdr:row>
      <xdr:rowOff>106680</xdr:rowOff>
    </xdr:to>
    <xdr:sp macro="" textlink="">
      <xdr:nvSpPr>
        <xdr:cNvPr id="168" name="Topic_E">
          <a:extLst>
            <a:ext uri="{FF2B5EF4-FFF2-40B4-BE49-F238E27FC236}">
              <a16:creationId xmlns:a16="http://schemas.microsoft.com/office/drawing/2014/main" id="{BD470513-DC31-91E5-A67B-923402603C55}"/>
            </a:ext>
          </a:extLst>
        </xdr:cNvPr>
        <xdr:cNvSpPr/>
      </xdr:nvSpPr>
      <xdr:spPr>
        <a:xfrm>
          <a:off x="3810000" y="2159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</a:t>
          </a:r>
        </a:p>
      </xdr:txBody>
    </xdr:sp>
    <xdr:clientData/>
  </xdr:twoCellAnchor>
  <xdr:twoCellAnchor>
    <xdr:from>
      <xdr:col>1</xdr:col>
      <xdr:colOff>25400</xdr:colOff>
      <xdr:row>15</xdr:row>
      <xdr:rowOff>177800</xdr:rowOff>
    </xdr:from>
    <xdr:to>
      <xdr:col>3</xdr:col>
      <xdr:colOff>76200</xdr:colOff>
      <xdr:row>18</xdr:row>
      <xdr:rowOff>10160</xdr:rowOff>
    </xdr:to>
    <xdr:sp macro="" textlink="">
      <xdr:nvSpPr>
        <xdr:cNvPr id="169" name="Student_Sibel">
          <a:extLst>
            <a:ext uri="{FF2B5EF4-FFF2-40B4-BE49-F238E27FC236}">
              <a16:creationId xmlns:a16="http://schemas.microsoft.com/office/drawing/2014/main" id="{3F3F5AD8-17E5-CB1B-23A1-6D4E29A7874B}"/>
            </a:ext>
          </a:extLst>
        </xdr:cNvPr>
        <xdr:cNvSpPr/>
      </xdr:nvSpPr>
      <xdr:spPr>
        <a:xfrm>
          <a:off x="635000" y="2921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Sibel</a:t>
          </a:r>
        </a:p>
      </xdr:txBody>
    </xdr:sp>
    <xdr:clientData/>
  </xdr:twoCellAnchor>
  <xdr:twoCellAnchor>
    <xdr:from>
      <xdr:col>1</xdr:col>
      <xdr:colOff>25400</xdr:colOff>
      <xdr:row>20</xdr:row>
      <xdr:rowOff>25400</xdr:rowOff>
    </xdr:from>
    <xdr:to>
      <xdr:col>3</xdr:col>
      <xdr:colOff>76200</xdr:colOff>
      <xdr:row>22</xdr:row>
      <xdr:rowOff>40640</xdr:rowOff>
    </xdr:to>
    <xdr:sp macro="" textlink="">
      <xdr:nvSpPr>
        <xdr:cNvPr id="170" name="Student_Thijs Vlonk">
          <a:extLst>
            <a:ext uri="{FF2B5EF4-FFF2-40B4-BE49-F238E27FC236}">
              <a16:creationId xmlns:a16="http://schemas.microsoft.com/office/drawing/2014/main" id="{BAB69485-8659-D6FE-1C78-5F1A422F8611}"/>
            </a:ext>
          </a:extLst>
        </xdr:cNvPr>
        <xdr:cNvSpPr/>
      </xdr:nvSpPr>
      <xdr:spPr>
        <a:xfrm>
          <a:off x="635000" y="3683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Thijs Vlonk</a:t>
          </a:r>
        </a:p>
      </xdr:txBody>
    </xdr:sp>
    <xdr:clientData/>
  </xdr:twoCellAnchor>
  <xdr:twoCellAnchor>
    <xdr:from>
      <xdr:col>6</xdr:col>
      <xdr:colOff>152400</xdr:colOff>
      <xdr:row>15</xdr:row>
      <xdr:rowOff>177800</xdr:rowOff>
    </xdr:from>
    <xdr:to>
      <xdr:col>7</xdr:col>
      <xdr:colOff>50800</xdr:colOff>
      <xdr:row>18</xdr:row>
      <xdr:rowOff>137160</xdr:rowOff>
    </xdr:to>
    <xdr:sp macro="" textlink="">
      <xdr:nvSpPr>
        <xdr:cNvPr id="171" name="Topic_D">
          <a:extLst>
            <a:ext uri="{FF2B5EF4-FFF2-40B4-BE49-F238E27FC236}">
              <a16:creationId xmlns:a16="http://schemas.microsoft.com/office/drawing/2014/main" id="{AB5157E7-5034-5A53-75CA-3F2AB03F0191}"/>
            </a:ext>
          </a:extLst>
        </xdr:cNvPr>
        <xdr:cNvSpPr/>
      </xdr:nvSpPr>
      <xdr:spPr>
        <a:xfrm>
          <a:off x="3810000" y="2921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</a:t>
          </a:r>
        </a:p>
      </xdr:txBody>
    </xdr:sp>
    <xdr:clientData/>
  </xdr:twoCellAnchor>
  <xdr:twoCellAnchor>
    <xdr:from>
      <xdr:col>1</xdr:col>
      <xdr:colOff>25400</xdr:colOff>
      <xdr:row>24</xdr:row>
      <xdr:rowOff>55880</xdr:rowOff>
    </xdr:from>
    <xdr:to>
      <xdr:col>3</xdr:col>
      <xdr:colOff>76200</xdr:colOff>
      <xdr:row>26</xdr:row>
      <xdr:rowOff>71120</xdr:rowOff>
    </xdr:to>
    <xdr:sp macro="" textlink="">
      <xdr:nvSpPr>
        <xdr:cNvPr id="172" name="Student_Boukye ter Hoeven">
          <a:extLst>
            <a:ext uri="{FF2B5EF4-FFF2-40B4-BE49-F238E27FC236}">
              <a16:creationId xmlns:a16="http://schemas.microsoft.com/office/drawing/2014/main" id="{55DC9544-2510-2145-9413-642D7910FCC5}"/>
            </a:ext>
          </a:extLst>
        </xdr:cNvPr>
        <xdr:cNvSpPr/>
      </xdr:nvSpPr>
      <xdr:spPr>
        <a:xfrm>
          <a:off x="635000" y="4445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Boukye ter Hoeven</a:t>
          </a:r>
        </a:p>
      </xdr:txBody>
    </xdr:sp>
    <xdr:clientData/>
  </xdr:twoCellAnchor>
  <xdr:twoCellAnchor>
    <xdr:from>
      <xdr:col>6</xdr:col>
      <xdr:colOff>152400</xdr:colOff>
      <xdr:row>20</xdr:row>
      <xdr:rowOff>25400</xdr:rowOff>
    </xdr:from>
    <xdr:to>
      <xdr:col>7</xdr:col>
      <xdr:colOff>50800</xdr:colOff>
      <xdr:row>22</xdr:row>
      <xdr:rowOff>167640</xdr:rowOff>
    </xdr:to>
    <xdr:sp macro="" textlink="">
      <xdr:nvSpPr>
        <xdr:cNvPr id="173" name="Topic_F">
          <a:extLst>
            <a:ext uri="{FF2B5EF4-FFF2-40B4-BE49-F238E27FC236}">
              <a16:creationId xmlns:a16="http://schemas.microsoft.com/office/drawing/2014/main" id="{5281F02B-B065-1909-45FC-DE9DDC7BF7B9}"/>
            </a:ext>
          </a:extLst>
        </xdr:cNvPr>
        <xdr:cNvSpPr/>
      </xdr:nvSpPr>
      <xdr:spPr>
        <a:xfrm>
          <a:off x="3810000" y="3683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</a:t>
          </a:r>
        </a:p>
      </xdr:txBody>
    </xdr:sp>
    <xdr:clientData/>
  </xdr:twoCellAnchor>
  <xdr:twoCellAnchor>
    <xdr:from>
      <xdr:col>1</xdr:col>
      <xdr:colOff>25400</xdr:colOff>
      <xdr:row>28</xdr:row>
      <xdr:rowOff>86360</xdr:rowOff>
    </xdr:from>
    <xdr:to>
      <xdr:col>3</xdr:col>
      <xdr:colOff>76200</xdr:colOff>
      <xdr:row>30</xdr:row>
      <xdr:rowOff>101600</xdr:rowOff>
    </xdr:to>
    <xdr:sp macro="" textlink="">
      <xdr:nvSpPr>
        <xdr:cNvPr id="174" name="Student_Mayssa">
          <a:extLst>
            <a:ext uri="{FF2B5EF4-FFF2-40B4-BE49-F238E27FC236}">
              <a16:creationId xmlns:a16="http://schemas.microsoft.com/office/drawing/2014/main" id="{86A70D58-9F9B-392F-94F4-08552BA9F449}"/>
            </a:ext>
          </a:extLst>
        </xdr:cNvPr>
        <xdr:cNvSpPr/>
      </xdr:nvSpPr>
      <xdr:spPr>
        <a:xfrm>
          <a:off x="635000" y="5207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Mayssa</a:t>
          </a:r>
        </a:p>
      </xdr:txBody>
    </xdr:sp>
    <xdr:clientData/>
  </xdr:twoCellAnchor>
  <xdr:twoCellAnchor>
    <xdr:from>
      <xdr:col>1</xdr:col>
      <xdr:colOff>25400</xdr:colOff>
      <xdr:row>32</xdr:row>
      <xdr:rowOff>116840</xdr:rowOff>
    </xdr:from>
    <xdr:to>
      <xdr:col>3</xdr:col>
      <xdr:colOff>76200</xdr:colOff>
      <xdr:row>34</xdr:row>
      <xdr:rowOff>132080</xdr:rowOff>
    </xdr:to>
    <xdr:sp macro="" textlink="">
      <xdr:nvSpPr>
        <xdr:cNvPr id="175" name="Student_Valentine">
          <a:extLst>
            <a:ext uri="{FF2B5EF4-FFF2-40B4-BE49-F238E27FC236}">
              <a16:creationId xmlns:a16="http://schemas.microsoft.com/office/drawing/2014/main" id="{8C5B4866-2F66-30D4-DF80-B7E770DA38C3}"/>
            </a:ext>
          </a:extLst>
        </xdr:cNvPr>
        <xdr:cNvSpPr/>
      </xdr:nvSpPr>
      <xdr:spPr>
        <a:xfrm>
          <a:off x="635000" y="5969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Valentine</a:t>
          </a:r>
        </a:p>
      </xdr:txBody>
    </xdr:sp>
    <xdr:clientData/>
  </xdr:twoCellAnchor>
  <xdr:twoCellAnchor>
    <xdr:from>
      <xdr:col>6</xdr:col>
      <xdr:colOff>152400</xdr:colOff>
      <xdr:row>24</xdr:row>
      <xdr:rowOff>55880</xdr:rowOff>
    </xdr:from>
    <xdr:to>
      <xdr:col>7</xdr:col>
      <xdr:colOff>50800</xdr:colOff>
      <xdr:row>27</xdr:row>
      <xdr:rowOff>15240</xdr:rowOff>
    </xdr:to>
    <xdr:sp macro="" textlink="">
      <xdr:nvSpPr>
        <xdr:cNvPr id="176" name="Topic_A">
          <a:extLst>
            <a:ext uri="{FF2B5EF4-FFF2-40B4-BE49-F238E27FC236}">
              <a16:creationId xmlns:a16="http://schemas.microsoft.com/office/drawing/2014/main" id="{E97947C6-D632-D08C-5361-5E44F85F3479}"/>
            </a:ext>
          </a:extLst>
        </xdr:cNvPr>
        <xdr:cNvSpPr/>
      </xdr:nvSpPr>
      <xdr:spPr>
        <a:xfrm>
          <a:off x="3810000" y="4445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</a:t>
          </a:r>
        </a:p>
      </xdr:txBody>
    </xdr:sp>
    <xdr:clientData/>
  </xdr:twoCellAnchor>
  <xdr:twoCellAnchor>
    <xdr:from>
      <xdr:col>1</xdr:col>
      <xdr:colOff>25400</xdr:colOff>
      <xdr:row>36</xdr:row>
      <xdr:rowOff>147320</xdr:rowOff>
    </xdr:from>
    <xdr:to>
      <xdr:col>3</xdr:col>
      <xdr:colOff>76200</xdr:colOff>
      <xdr:row>38</xdr:row>
      <xdr:rowOff>162560</xdr:rowOff>
    </xdr:to>
    <xdr:sp macro="" textlink="">
      <xdr:nvSpPr>
        <xdr:cNvPr id="177" name="Student_Justin">
          <a:extLst>
            <a:ext uri="{FF2B5EF4-FFF2-40B4-BE49-F238E27FC236}">
              <a16:creationId xmlns:a16="http://schemas.microsoft.com/office/drawing/2014/main" id="{07CA78DB-B50C-8C22-D4F8-CA0D8966F7B5}"/>
            </a:ext>
          </a:extLst>
        </xdr:cNvPr>
        <xdr:cNvSpPr/>
      </xdr:nvSpPr>
      <xdr:spPr>
        <a:xfrm>
          <a:off x="635000" y="6731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Justin</a:t>
          </a:r>
        </a:p>
      </xdr:txBody>
    </xdr:sp>
    <xdr:clientData/>
  </xdr:twoCellAnchor>
  <xdr:twoCellAnchor>
    <xdr:from>
      <xdr:col>1</xdr:col>
      <xdr:colOff>25400</xdr:colOff>
      <xdr:row>40</xdr:row>
      <xdr:rowOff>177800</xdr:rowOff>
    </xdr:from>
    <xdr:to>
      <xdr:col>3</xdr:col>
      <xdr:colOff>76200</xdr:colOff>
      <xdr:row>43</xdr:row>
      <xdr:rowOff>10160</xdr:rowOff>
    </xdr:to>
    <xdr:sp macro="" textlink="">
      <xdr:nvSpPr>
        <xdr:cNvPr id="178" name="Student_Indynage">
          <a:extLst>
            <a:ext uri="{FF2B5EF4-FFF2-40B4-BE49-F238E27FC236}">
              <a16:creationId xmlns:a16="http://schemas.microsoft.com/office/drawing/2014/main" id="{CFA7249E-FD9C-AA26-92F5-BBBC8D3BA77F}"/>
            </a:ext>
          </a:extLst>
        </xdr:cNvPr>
        <xdr:cNvSpPr/>
      </xdr:nvSpPr>
      <xdr:spPr>
        <a:xfrm>
          <a:off x="635000" y="7493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Indynage</a:t>
          </a:r>
        </a:p>
      </xdr:txBody>
    </xdr:sp>
    <xdr:clientData/>
  </xdr:twoCellAnchor>
  <xdr:twoCellAnchor>
    <xdr:from>
      <xdr:col>1</xdr:col>
      <xdr:colOff>25400</xdr:colOff>
      <xdr:row>45</xdr:row>
      <xdr:rowOff>25400</xdr:rowOff>
    </xdr:from>
    <xdr:to>
      <xdr:col>3</xdr:col>
      <xdr:colOff>76200</xdr:colOff>
      <xdr:row>47</xdr:row>
      <xdr:rowOff>40640</xdr:rowOff>
    </xdr:to>
    <xdr:sp macro="" textlink="">
      <xdr:nvSpPr>
        <xdr:cNvPr id="179" name="Student_Claudia">
          <a:extLst>
            <a:ext uri="{FF2B5EF4-FFF2-40B4-BE49-F238E27FC236}">
              <a16:creationId xmlns:a16="http://schemas.microsoft.com/office/drawing/2014/main" id="{A20D59E6-F326-956E-B07A-5F062222FC1E}"/>
            </a:ext>
          </a:extLst>
        </xdr:cNvPr>
        <xdr:cNvSpPr/>
      </xdr:nvSpPr>
      <xdr:spPr>
        <a:xfrm>
          <a:off x="635000" y="8255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Claudia</a:t>
          </a:r>
        </a:p>
      </xdr:txBody>
    </xdr:sp>
    <xdr:clientData/>
  </xdr:twoCellAnchor>
  <xdr:twoCellAnchor>
    <xdr:from>
      <xdr:col>6</xdr:col>
      <xdr:colOff>152400</xdr:colOff>
      <xdr:row>28</xdr:row>
      <xdr:rowOff>86360</xdr:rowOff>
    </xdr:from>
    <xdr:to>
      <xdr:col>7</xdr:col>
      <xdr:colOff>50800</xdr:colOff>
      <xdr:row>31</xdr:row>
      <xdr:rowOff>45720</xdr:rowOff>
    </xdr:to>
    <xdr:sp macro="" textlink="">
      <xdr:nvSpPr>
        <xdr:cNvPr id="180" name="Topic_H">
          <a:extLst>
            <a:ext uri="{FF2B5EF4-FFF2-40B4-BE49-F238E27FC236}">
              <a16:creationId xmlns:a16="http://schemas.microsoft.com/office/drawing/2014/main" id="{E075F77D-A38F-F58A-A8A1-C2270BFF3BDE}"/>
            </a:ext>
          </a:extLst>
        </xdr:cNvPr>
        <xdr:cNvSpPr/>
      </xdr:nvSpPr>
      <xdr:spPr>
        <a:xfrm>
          <a:off x="3810000" y="5207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25400</xdr:colOff>
      <xdr:row>49</xdr:row>
      <xdr:rowOff>55880</xdr:rowOff>
    </xdr:from>
    <xdr:to>
      <xdr:col>3</xdr:col>
      <xdr:colOff>76200</xdr:colOff>
      <xdr:row>51</xdr:row>
      <xdr:rowOff>71120</xdr:rowOff>
    </xdr:to>
    <xdr:sp macro="" textlink="">
      <xdr:nvSpPr>
        <xdr:cNvPr id="181" name="Student_Akanksha">
          <a:extLst>
            <a:ext uri="{FF2B5EF4-FFF2-40B4-BE49-F238E27FC236}">
              <a16:creationId xmlns:a16="http://schemas.microsoft.com/office/drawing/2014/main" id="{B653CB47-09C6-648B-69D5-825DF952BE39}"/>
            </a:ext>
          </a:extLst>
        </xdr:cNvPr>
        <xdr:cNvSpPr/>
      </xdr:nvSpPr>
      <xdr:spPr>
        <a:xfrm>
          <a:off x="635000" y="9017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Akanksha</a:t>
          </a:r>
        </a:p>
      </xdr:txBody>
    </xdr:sp>
    <xdr:clientData/>
  </xdr:twoCellAnchor>
  <xdr:twoCellAnchor>
    <xdr:from>
      <xdr:col>2</xdr:col>
      <xdr:colOff>50800</xdr:colOff>
      <xdr:row>3</xdr:row>
      <xdr:rowOff>86360</xdr:rowOff>
    </xdr:from>
    <xdr:to>
      <xdr:col>6</xdr:col>
      <xdr:colOff>406400</xdr:colOff>
      <xdr:row>5</xdr:row>
      <xdr:rowOff>101600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64DE8A93-BEF0-30CE-0A85-B14D1FC2CED0}"/>
            </a:ext>
          </a:extLst>
        </xdr:cNvPr>
        <xdr:cNvCxnSpPr>
          <a:stCxn id="163" idx="2"/>
          <a:endCxn id="164" idx="0"/>
        </xdr:cNvCxnSpPr>
      </xdr:nvCxnSpPr>
      <xdr:spPr>
        <a:xfrm flipV="1">
          <a:off x="1270000" y="635000"/>
          <a:ext cx="2794000" cy="381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4</xdr:row>
      <xdr:rowOff>157480</xdr:rowOff>
    </xdr:from>
    <xdr:to>
      <xdr:col>6</xdr:col>
      <xdr:colOff>152400</xdr:colOff>
      <xdr:row>15</xdr:row>
      <xdr:rowOff>177800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6E2E2084-C708-5877-FA42-F65115815E04}"/>
            </a:ext>
          </a:extLst>
        </xdr:cNvPr>
        <xdr:cNvCxnSpPr>
          <a:stCxn id="164" idx="2"/>
          <a:endCxn id="169" idx="0"/>
        </xdr:cNvCxnSpPr>
      </xdr:nvCxnSpPr>
      <xdr:spPr>
        <a:xfrm flipH="1">
          <a:off x="1270000" y="889000"/>
          <a:ext cx="2540000" cy="2032000"/>
        </a:xfrm>
        <a:prstGeom prst="straightConnector1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7</xdr:row>
      <xdr:rowOff>116840</xdr:rowOff>
    </xdr:from>
    <xdr:to>
      <xdr:col>6</xdr:col>
      <xdr:colOff>406400</xdr:colOff>
      <xdr:row>9</xdr:row>
      <xdr:rowOff>132080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2F982D96-A037-D42D-2539-14BDF349A509}"/>
            </a:ext>
          </a:extLst>
        </xdr:cNvPr>
        <xdr:cNvCxnSpPr>
          <a:stCxn id="165" idx="2"/>
          <a:endCxn id="166" idx="0"/>
        </xdr:cNvCxnSpPr>
      </xdr:nvCxnSpPr>
      <xdr:spPr>
        <a:xfrm flipV="1">
          <a:off x="1270000" y="1397000"/>
          <a:ext cx="2794000" cy="381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7</xdr:row>
      <xdr:rowOff>116840</xdr:rowOff>
    </xdr:from>
    <xdr:to>
      <xdr:col>6</xdr:col>
      <xdr:colOff>152400</xdr:colOff>
      <xdr:row>9</xdr:row>
      <xdr:rowOff>5080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514E8513-4E49-691A-3218-F81FCAE73570}"/>
            </a:ext>
          </a:extLst>
        </xdr:cNvPr>
        <xdr:cNvCxnSpPr>
          <a:stCxn id="166" idx="2"/>
          <a:endCxn id="165" idx="0"/>
        </xdr:cNvCxnSpPr>
      </xdr:nvCxnSpPr>
      <xdr:spPr>
        <a:xfrm flipH="1" flipV="1">
          <a:off x="1270000" y="1397000"/>
          <a:ext cx="2540000" cy="254000"/>
        </a:xfrm>
        <a:prstGeom prst="straightConnector1">
          <a:avLst/>
        </a:prstGeom>
        <a:ln w="31750">
          <a:solidFill>
            <a:srgbClr val="00C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11</xdr:row>
      <xdr:rowOff>147320</xdr:rowOff>
    </xdr:from>
    <xdr:to>
      <xdr:col>6</xdr:col>
      <xdr:colOff>406400</xdr:colOff>
      <xdr:row>13</xdr:row>
      <xdr:rowOff>162560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4DB72B89-DA85-06E2-4256-F5DB44CC9BF3}"/>
            </a:ext>
          </a:extLst>
        </xdr:cNvPr>
        <xdr:cNvCxnSpPr>
          <a:stCxn id="167" idx="2"/>
          <a:endCxn id="168" idx="0"/>
        </xdr:cNvCxnSpPr>
      </xdr:nvCxnSpPr>
      <xdr:spPr>
        <a:xfrm flipV="1">
          <a:off x="1270000" y="2159000"/>
          <a:ext cx="2794000" cy="381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13</xdr:row>
      <xdr:rowOff>35560</xdr:rowOff>
    </xdr:from>
    <xdr:to>
      <xdr:col>6</xdr:col>
      <xdr:colOff>152400</xdr:colOff>
      <xdr:row>40</xdr:row>
      <xdr:rowOff>177800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D9196ADB-4A3D-3381-61B3-B3A2384DDB71}"/>
            </a:ext>
          </a:extLst>
        </xdr:cNvPr>
        <xdr:cNvCxnSpPr>
          <a:stCxn id="168" idx="2"/>
          <a:endCxn id="178" idx="0"/>
        </xdr:cNvCxnSpPr>
      </xdr:nvCxnSpPr>
      <xdr:spPr>
        <a:xfrm flipH="1">
          <a:off x="1270000" y="2413000"/>
          <a:ext cx="2540000" cy="5080000"/>
        </a:xfrm>
        <a:prstGeom prst="straightConnector1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3</xdr:row>
      <xdr:rowOff>86360</xdr:rowOff>
    </xdr:from>
    <xdr:to>
      <xdr:col>6</xdr:col>
      <xdr:colOff>406400</xdr:colOff>
      <xdr:row>18</xdr:row>
      <xdr:rowOff>10160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927997AF-4730-30F3-3A4F-ECBA31B0BC07}"/>
            </a:ext>
          </a:extLst>
        </xdr:cNvPr>
        <xdr:cNvCxnSpPr>
          <a:stCxn id="169" idx="2"/>
          <a:endCxn id="164" idx="0"/>
        </xdr:cNvCxnSpPr>
      </xdr:nvCxnSpPr>
      <xdr:spPr>
        <a:xfrm flipV="1">
          <a:off x="1270000" y="635000"/>
          <a:ext cx="2794000" cy="2667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4</xdr:row>
      <xdr:rowOff>157480</xdr:rowOff>
    </xdr:from>
    <xdr:to>
      <xdr:col>6</xdr:col>
      <xdr:colOff>152400</xdr:colOff>
      <xdr:row>15</xdr:row>
      <xdr:rowOff>177800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2D38BA98-2471-FD8B-9C27-96C120E55422}"/>
            </a:ext>
          </a:extLst>
        </xdr:cNvPr>
        <xdr:cNvCxnSpPr>
          <a:stCxn id="164" idx="2"/>
          <a:endCxn id="169" idx="0"/>
        </xdr:cNvCxnSpPr>
      </xdr:nvCxnSpPr>
      <xdr:spPr>
        <a:xfrm flipH="1">
          <a:off x="1270000" y="889000"/>
          <a:ext cx="2540000" cy="2032000"/>
        </a:xfrm>
        <a:prstGeom prst="straightConnector1">
          <a:avLst/>
        </a:prstGeom>
        <a:ln w="31750">
          <a:solidFill>
            <a:srgbClr val="00C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15</xdr:row>
      <xdr:rowOff>177800</xdr:rowOff>
    </xdr:from>
    <xdr:to>
      <xdr:col>6</xdr:col>
      <xdr:colOff>406400</xdr:colOff>
      <xdr:row>22</xdr:row>
      <xdr:rowOff>40640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CF63C808-CE75-B5D3-5481-803FD4F25AE1}"/>
            </a:ext>
          </a:extLst>
        </xdr:cNvPr>
        <xdr:cNvCxnSpPr>
          <a:stCxn id="170" idx="2"/>
          <a:endCxn id="171" idx="0"/>
        </xdr:cNvCxnSpPr>
      </xdr:nvCxnSpPr>
      <xdr:spPr>
        <a:xfrm flipV="1">
          <a:off x="1270000" y="2921000"/>
          <a:ext cx="2794000" cy="1143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3</xdr:row>
      <xdr:rowOff>86360</xdr:rowOff>
    </xdr:from>
    <xdr:to>
      <xdr:col>6</xdr:col>
      <xdr:colOff>152400</xdr:colOff>
      <xdr:row>17</xdr:row>
      <xdr:rowOff>66040</xdr:rowOff>
    </xdr:to>
    <xdr:cxnSp macro="">
      <xdr:nvCxnSpPr>
        <xdr:cNvPr id="191" name="Straight Arrow Connector 190">
          <a:extLst>
            <a:ext uri="{FF2B5EF4-FFF2-40B4-BE49-F238E27FC236}">
              <a16:creationId xmlns:a16="http://schemas.microsoft.com/office/drawing/2014/main" id="{9EF6BE03-95DB-5AF2-83F0-98F6F99AE6C1}"/>
            </a:ext>
          </a:extLst>
        </xdr:cNvPr>
        <xdr:cNvCxnSpPr>
          <a:stCxn id="171" idx="2"/>
          <a:endCxn id="163" idx="0"/>
        </xdr:cNvCxnSpPr>
      </xdr:nvCxnSpPr>
      <xdr:spPr>
        <a:xfrm flipH="1" flipV="1">
          <a:off x="1270000" y="635000"/>
          <a:ext cx="2540000" cy="2540000"/>
        </a:xfrm>
        <a:prstGeom prst="straightConnector1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20</xdr:row>
      <xdr:rowOff>25400</xdr:rowOff>
    </xdr:from>
    <xdr:to>
      <xdr:col>6</xdr:col>
      <xdr:colOff>406400</xdr:colOff>
      <xdr:row>26</xdr:row>
      <xdr:rowOff>71120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483245FD-5724-2BD8-DDA2-ECBE75F70844}"/>
            </a:ext>
          </a:extLst>
        </xdr:cNvPr>
        <xdr:cNvCxnSpPr>
          <a:stCxn id="172" idx="2"/>
          <a:endCxn id="173" idx="0"/>
        </xdr:cNvCxnSpPr>
      </xdr:nvCxnSpPr>
      <xdr:spPr>
        <a:xfrm flipV="1">
          <a:off x="1270000" y="3683000"/>
          <a:ext cx="2794000" cy="1143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21</xdr:row>
      <xdr:rowOff>96520</xdr:rowOff>
    </xdr:from>
    <xdr:to>
      <xdr:col>6</xdr:col>
      <xdr:colOff>152400</xdr:colOff>
      <xdr:row>28</xdr:row>
      <xdr:rowOff>86360</xdr:rowOff>
    </xdr:to>
    <xdr:cxnSp macro="">
      <xdr:nvCxnSpPr>
        <xdr:cNvPr id="193" name="Straight Arrow Connector 192">
          <a:extLst>
            <a:ext uri="{FF2B5EF4-FFF2-40B4-BE49-F238E27FC236}">
              <a16:creationId xmlns:a16="http://schemas.microsoft.com/office/drawing/2014/main" id="{3F6472F6-085E-1C9C-993B-90D66FA7E7D8}"/>
            </a:ext>
          </a:extLst>
        </xdr:cNvPr>
        <xdr:cNvCxnSpPr>
          <a:stCxn id="173" idx="2"/>
          <a:endCxn id="174" idx="0"/>
        </xdr:cNvCxnSpPr>
      </xdr:nvCxnSpPr>
      <xdr:spPr>
        <a:xfrm flipH="1">
          <a:off x="1270000" y="3937000"/>
          <a:ext cx="2540000" cy="1270000"/>
        </a:xfrm>
        <a:prstGeom prst="straightConnector1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20</xdr:row>
      <xdr:rowOff>25400</xdr:rowOff>
    </xdr:from>
    <xdr:to>
      <xdr:col>6</xdr:col>
      <xdr:colOff>406400</xdr:colOff>
      <xdr:row>30</xdr:row>
      <xdr:rowOff>101600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E0C739D0-282F-A575-E4BA-1FE935870D66}"/>
            </a:ext>
          </a:extLst>
        </xdr:cNvPr>
        <xdr:cNvCxnSpPr>
          <a:stCxn id="174" idx="2"/>
          <a:endCxn id="173" idx="0"/>
        </xdr:cNvCxnSpPr>
      </xdr:nvCxnSpPr>
      <xdr:spPr>
        <a:xfrm flipV="1">
          <a:off x="1270000" y="3683000"/>
          <a:ext cx="2794000" cy="1905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21</xdr:row>
      <xdr:rowOff>96520</xdr:rowOff>
    </xdr:from>
    <xdr:to>
      <xdr:col>6</xdr:col>
      <xdr:colOff>152400</xdr:colOff>
      <xdr:row>28</xdr:row>
      <xdr:rowOff>86360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F8C80765-A6AE-BAB2-D052-2A9BBE480486}"/>
            </a:ext>
          </a:extLst>
        </xdr:cNvPr>
        <xdr:cNvCxnSpPr>
          <a:stCxn id="173" idx="2"/>
          <a:endCxn id="174" idx="0"/>
        </xdr:cNvCxnSpPr>
      </xdr:nvCxnSpPr>
      <xdr:spPr>
        <a:xfrm flipH="1">
          <a:off x="1270000" y="3937000"/>
          <a:ext cx="2540000" cy="1270000"/>
        </a:xfrm>
        <a:prstGeom prst="straightConnector1">
          <a:avLst/>
        </a:prstGeom>
        <a:ln w="31750">
          <a:solidFill>
            <a:srgbClr val="00C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24</xdr:row>
      <xdr:rowOff>55880</xdr:rowOff>
    </xdr:from>
    <xdr:to>
      <xdr:col>6</xdr:col>
      <xdr:colOff>406400</xdr:colOff>
      <xdr:row>34</xdr:row>
      <xdr:rowOff>132080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62B9189E-1085-5475-21BB-C7DC7846E3F3}"/>
            </a:ext>
          </a:extLst>
        </xdr:cNvPr>
        <xdr:cNvCxnSpPr>
          <a:stCxn id="175" idx="2"/>
          <a:endCxn id="176" idx="0"/>
        </xdr:cNvCxnSpPr>
      </xdr:nvCxnSpPr>
      <xdr:spPr>
        <a:xfrm flipV="1">
          <a:off x="1270000" y="4445000"/>
          <a:ext cx="2794000" cy="1905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25</xdr:row>
      <xdr:rowOff>127000</xdr:rowOff>
    </xdr:from>
    <xdr:to>
      <xdr:col>6</xdr:col>
      <xdr:colOff>152400</xdr:colOff>
      <xdr:row>32</xdr:row>
      <xdr:rowOff>116840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5172B333-12FF-E36C-0514-4209A4016059}"/>
            </a:ext>
          </a:extLst>
        </xdr:cNvPr>
        <xdr:cNvCxnSpPr>
          <a:stCxn id="176" idx="2"/>
          <a:endCxn id="175" idx="0"/>
        </xdr:cNvCxnSpPr>
      </xdr:nvCxnSpPr>
      <xdr:spPr>
        <a:xfrm flipH="1">
          <a:off x="1270000" y="4699000"/>
          <a:ext cx="2540000" cy="1270000"/>
        </a:xfrm>
        <a:prstGeom prst="straightConnector1">
          <a:avLst/>
        </a:prstGeom>
        <a:ln w="31750">
          <a:solidFill>
            <a:srgbClr val="00C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3</xdr:row>
      <xdr:rowOff>86360</xdr:rowOff>
    </xdr:from>
    <xdr:to>
      <xdr:col>6</xdr:col>
      <xdr:colOff>406400</xdr:colOff>
      <xdr:row>38</xdr:row>
      <xdr:rowOff>162560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C834EF43-5F74-01CD-8CC9-0AC9A7C356E4}"/>
            </a:ext>
          </a:extLst>
        </xdr:cNvPr>
        <xdr:cNvCxnSpPr>
          <a:stCxn id="177" idx="2"/>
          <a:endCxn id="164" idx="0"/>
        </xdr:cNvCxnSpPr>
      </xdr:nvCxnSpPr>
      <xdr:spPr>
        <a:xfrm flipV="1">
          <a:off x="1270000" y="635000"/>
          <a:ext cx="2794000" cy="6477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4</xdr:row>
      <xdr:rowOff>157480</xdr:rowOff>
    </xdr:from>
    <xdr:to>
      <xdr:col>6</xdr:col>
      <xdr:colOff>152400</xdr:colOff>
      <xdr:row>15</xdr:row>
      <xdr:rowOff>177800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C16AEFE3-751A-284F-3E5B-B59300E2D12F}"/>
            </a:ext>
          </a:extLst>
        </xdr:cNvPr>
        <xdr:cNvCxnSpPr>
          <a:stCxn id="164" idx="2"/>
          <a:endCxn id="169" idx="0"/>
        </xdr:cNvCxnSpPr>
      </xdr:nvCxnSpPr>
      <xdr:spPr>
        <a:xfrm flipH="1">
          <a:off x="1270000" y="889000"/>
          <a:ext cx="2540000" cy="2032000"/>
        </a:xfrm>
        <a:prstGeom prst="straightConnector1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11</xdr:row>
      <xdr:rowOff>147320</xdr:rowOff>
    </xdr:from>
    <xdr:to>
      <xdr:col>6</xdr:col>
      <xdr:colOff>406400</xdr:colOff>
      <xdr:row>43</xdr:row>
      <xdr:rowOff>10160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3A404F31-E2A0-3855-E288-AA6F314768B3}"/>
            </a:ext>
          </a:extLst>
        </xdr:cNvPr>
        <xdr:cNvCxnSpPr>
          <a:stCxn id="178" idx="2"/>
          <a:endCxn id="168" idx="0"/>
        </xdr:cNvCxnSpPr>
      </xdr:nvCxnSpPr>
      <xdr:spPr>
        <a:xfrm flipV="1">
          <a:off x="1270000" y="2159000"/>
          <a:ext cx="2794000" cy="5715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13</xdr:row>
      <xdr:rowOff>35560</xdr:rowOff>
    </xdr:from>
    <xdr:to>
      <xdr:col>6</xdr:col>
      <xdr:colOff>152400</xdr:colOff>
      <xdr:row>40</xdr:row>
      <xdr:rowOff>177800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4D06F45B-9085-5564-8039-B7BFB66F35B4}"/>
            </a:ext>
          </a:extLst>
        </xdr:cNvPr>
        <xdr:cNvCxnSpPr>
          <a:stCxn id="168" idx="2"/>
          <a:endCxn id="178" idx="0"/>
        </xdr:cNvCxnSpPr>
      </xdr:nvCxnSpPr>
      <xdr:spPr>
        <a:xfrm flipH="1">
          <a:off x="1270000" y="2413000"/>
          <a:ext cx="2540000" cy="5080000"/>
        </a:xfrm>
        <a:prstGeom prst="straightConnector1">
          <a:avLst/>
        </a:prstGeom>
        <a:ln w="31750">
          <a:solidFill>
            <a:srgbClr val="00C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28</xdr:row>
      <xdr:rowOff>86360</xdr:rowOff>
    </xdr:from>
    <xdr:to>
      <xdr:col>6</xdr:col>
      <xdr:colOff>406400</xdr:colOff>
      <xdr:row>47</xdr:row>
      <xdr:rowOff>40640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DF58969B-16B0-E7CD-0372-B9134986DE78}"/>
            </a:ext>
          </a:extLst>
        </xdr:cNvPr>
        <xdr:cNvCxnSpPr>
          <a:stCxn id="179" idx="2"/>
          <a:endCxn id="180" idx="0"/>
        </xdr:cNvCxnSpPr>
      </xdr:nvCxnSpPr>
      <xdr:spPr>
        <a:xfrm flipV="1">
          <a:off x="1270000" y="5207000"/>
          <a:ext cx="2794000" cy="3429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29</xdr:row>
      <xdr:rowOff>157480</xdr:rowOff>
    </xdr:from>
    <xdr:to>
      <xdr:col>6</xdr:col>
      <xdr:colOff>152400</xdr:colOff>
      <xdr:row>45</xdr:row>
      <xdr:rowOff>25400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BF5BDB9D-E6DE-76BA-DA3B-7C15DA14BE1B}"/>
            </a:ext>
          </a:extLst>
        </xdr:cNvPr>
        <xdr:cNvCxnSpPr>
          <a:stCxn id="180" idx="2"/>
          <a:endCxn id="179" idx="0"/>
        </xdr:cNvCxnSpPr>
      </xdr:nvCxnSpPr>
      <xdr:spPr>
        <a:xfrm flipH="1">
          <a:off x="1270000" y="5461000"/>
          <a:ext cx="2540000" cy="2794000"/>
        </a:xfrm>
        <a:prstGeom prst="straightConnector1">
          <a:avLst/>
        </a:prstGeom>
        <a:ln w="31750">
          <a:solidFill>
            <a:srgbClr val="00C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3</xdr:row>
      <xdr:rowOff>86360</xdr:rowOff>
    </xdr:from>
    <xdr:to>
      <xdr:col>6</xdr:col>
      <xdr:colOff>406400</xdr:colOff>
      <xdr:row>51</xdr:row>
      <xdr:rowOff>71120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6719390D-0A7F-B54A-25C8-73A74BEE015B}"/>
            </a:ext>
          </a:extLst>
        </xdr:cNvPr>
        <xdr:cNvCxnSpPr>
          <a:stCxn id="181" idx="2"/>
          <a:endCxn id="164" idx="0"/>
        </xdr:cNvCxnSpPr>
      </xdr:nvCxnSpPr>
      <xdr:spPr>
        <a:xfrm flipV="1">
          <a:off x="1270000" y="635000"/>
          <a:ext cx="2794000" cy="8763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4</xdr:row>
      <xdr:rowOff>157480</xdr:rowOff>
    </xdr:from>
    <xdr:to>
      <xdr:col>6</xdr:col>
      <xdr:colOff>152400</xdr:colOff>
      <xdr:row>15</xdr:row>
      <xdr:rowOff>177800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F0B3F545-B69D-523D-0E10-AA4BC9DD97B8}"/>
            </a:ext>
          </a:extLst>
        </xdr:cNvPr>
        <xdr:cNvCxnSpPr>
          <a:stCxn id="164" idx="2"/>
          <a:endCxn id="169" idx="0"/>
        </xdr:cNvCxnSpPr>
      </xdr:nvCxnSpPr>
      <xdr:spPr>
        <a:xfrm flipH="1">
          <a:off x="1270000" y="889000"/>
          <a:ext cx="2540000" cy="2032000"/>
        </a:xfrm>
        <a:prstGeom prst="straightConnector1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86360</xdr:rowOff>
    </xdr:from>
    <xdr:to>
      <xdr:col>3</xdr:col>
      <xdr:colOff>76200</xdr:colOff>
      <xdr:row>5</xdr:row>
      <xdr:rowOff>101600</xdr:rowOff>
    </xdr:to>
    <xdr:sp macro="" textlink="">
      <xdr:nvSpPr>
        <xdr:cNvPr id="2" name="Student_Joni">
          <a:extLst>
            <a:ext uri="{FF2B5EF4-FFF2-40B4-BE49-F238E27FC236}">
              <a16:creationId xmlns:a16="http://schemas.microsoft.com/office/drawing/2014/main" id="{36F215EB-A45A-585E-49FA-AD11752FD757}"/>
            </a:ext>
          </a:extLst>
        </xdr:cNvPr>
        <xdr:cNvSpPr/>
      </xdr:nvSpPr>
      <xdr:spPr>
        <a:xfrm>
          <a:off x="635000" y="635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Joni</a:t>
          </a:r>
        </a:p>
      </xdr:txBody>
    </xdr:sp>
    <xdr:clientData/>
  </xdr:twoCellAnchor>
  <xdr:twoCellAnchor>
    <xdr:from>
      <xdr:col>6</xdr:col>
      <xdr:colOff>152400</xdr:colOff>
      <xdr:row>3</xdr:row>
      <xdr:rowOff>86360</xdr:rowOff>
    </xdr:from>
    <xdr:to>
      <xdr:col>7</xdr:col>
      <xdr:colOff>50800</xdr:colOff>
      <xdr:row>6</xdr:row>
      <xdr:rowOff>45720</xdr:rowOff>
    </xdr:to>
    <xdr:sp macro="" textlink="">
      <xdr:nvSpPr>
        <xdr:cNvPr id="3" name="Topic_B">
          <a:extLst>
            <a:ext uri="{FF2B5EF4-FFF2-40B4-BE49-F238E27FC236}">
              <a16:creationId xmlns:a16="http://schemas.microsoft.com/office/drawing/2014/main" id="{96FBCA9C-2522-2F0A-0BB4-7FECC41344B0}"/>
            </a:ext>
          </a:extLst>
        </xdr:cNvPr>
        <xdr:cNvSpPr/>
      </xdr:nvSpPr>
      <xdr:spPr>
        <a:xfrm>
          <a:off x="3810000" y="635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</a:t>
          </a:r>
        </a:p>
      </xdr:txBody>
    </xdr:sp>
    <xdr:clientData/>
  </xdr:twoCellAnchor>
  <xdr:twoCellAnchor>
    <xdr:from>
      <xdr:col>1</xdr:col>
      <xdr:colOff>25400</xdr:colOff>
      <xdr:row>7</xdr:row>
      <xdr:rowOff>116840</xdr:rowOff>
    </xdr:from>
    <xdr:to>
      <xdr:col>3</xdr:col>
      <xdr:colOff>76200</xdr:colOff>
      <xdr:row>9</xdr:row>
      <xdr:rowOff>132080</xdr:rowOff>
    </xdr:to>
    <xdr:sp macro="" textlink="">
      <xdr:nvSpPr>
        <xdr:cNvPr id="4" name="Student_Mirzakalonboy">
          <a:extLst>
            <a:ext uri="{FF2B5EF4-FFF2-40B4-BE49-F238E27FC236}">
              <a16:creationId xmlns:a16="http://schemas.microsoft.com/office/drawing/2014/main" id="{8D631D9E-AAD5-A1C6-4EC5-6BFF503EC5AD}"/>
            </a:ext>
          </a:extLst>
        </xdr:cNvPr>
        <xdr:cNvSpPr/>
      </xdr:nvSpPr>
      <xdr:spPr>
        <a:xfrm>
          <a:off x="635000" y="1397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Mirzakalonboy</a:t>
          </a:r>
        </a:p>
      </xdr:txBody>
    </xdr:sp>
    <xdr:clientData/>
  </xdr:twoCellAnchor>
  <xdr:twoCellAnchor>
    <xdr:from>
      <xdr:col>6</xdr:col>
      <xdr:colOff>152400</xdr:colOff>
      <xdr:row>7</xdr:row>
      <xdr:rowOff>116840</xdr:rowOff>
    </xdr:from>
    <xdr:to>
      <xdr:col>7</xdr:col>
      <xdr:colOff>50800</xdr:colOff>
      <xdr:row>10</xdr:row>
      <xdr:rowOff>76200</xdr:rowOff>
    </xdr:to>
    <xdr:sp macro="" textlink="">
      <xdr:nvSpPr>
        <xdr:cNvPr id="5" name="Topic_G">
          <a:extLst>
            <a:ext uri="{FF2B5EF4-FFF2-40B4-BE49-F238E27FC236}">
              <a16:creationId xmlns:a16="http://schemas.microsoft.com/office/drawing/2014/main" id="{7E1E9B22-5D1B-46AD-BEF2-1D26FE8E7EBE}"/>
            </a:ext>
          </a:extLst>
        </xdr:cNvPr>
        <xdr:cNvSpPr/>
      </xdr:nvSpPr>
      <xdr:spPr>
        <a:xfrm>
          <a:off x="3810000" y="1397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</a:t>
          </a:r>
        </a:p>
      </xdr:txBody>
    </xdr:sp>
    <xdr:clientData/>
  </xdr:twoCellAnchor>
  <xdr:twoCellAnchor>
    <xdr:from>
      <xdr:col>1</xdr:col>
      <xdr:colOff>25400</xdr:colOff>
      <xdr:row>11</xdr:row>
      <xdr:rowOff>147320</xdr:rowOff>
    </xdr:from>
    <xdr:to>
      <xdr:col>3</xdr:col>
      <xdr:colOff>76200</xdr:colOff>
      <xdr:row>13</xdr:row>
      <xdr:rowOff>162560</xdr:rowOff>
    </xdr:to>
    <xdr:sp macro="" textlink="">
      <xdr:nvSpPr>
        <xdr:cNvPr id="6" name="Student_Nobody">
          <a:extLst>
            <a:ext uri="{FF2B5EF4-FFF2-40B4-BE49-F238E27FC236}">
              <a16:creationId xmlns:a16="http://schemas.microsoft.com/office/drawing/2014/main" id="{D7FAF10E-07C9-0DC9-5A8C-5C451045FFD9}"/>
            </a:ext>
          </a:extLst>
        </xdr:cNvPr>
        <xdr:cNvSpPr/>
      </xdr:nvSpPr>
      <xdr:spPr>
        <a:xfrm>
          <a:off x="635000" y="2159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Nobody</a:t>
          </a:r>
        </a:p>
      </xdr:txBody>
    </xdr:sp>
    <xdr:clientData/>
  </xdr:twoCellAnchor>
  <xdr:twoCellAnchor>
    <xdr:from>
      <xdr:col>6</xdr:col>
      <xdr:colOff>152400</xdr:colOff>
      <xdr:row>11</xdr:row>
      <xdr:rowOff>147320</xdr:rowOff>
    </xdr:from>
    <xdr:to>
      <xdr:col>7</xdr:col>
      <xdr:colOff>50800</xdr:colOff>
      <xdr:row>14</xdr:row>
      <xdr:rowOff>106680</xdr:rowOff>
    </xdr:to>
    <xdr:sp macro="" textlink="">
      <xdr:nvSpPr>
        <xdr:cNvPr id="7" name="Topic_E">
          <a:extLst>
            <a:ext uri="{FF2B5EF4-FFF2-40B4-BE49-F238E27FC236}">
              <a16:creationId xmlns:a16="http://schemas.microsoft.com/office/drawing/2014/main" id="{A1C3A3AB-72AB-6A61-AE30-60056237EE6E}"/>
            </a:ext>
          </a:extLst>
        </xdr:cNvPr>
        <xdr:cNvSpPr/>
      </xdr:nvSpPr>
      <xdr:spPr>
        <a:xfrm>
          <a:off x="3810000" y="2159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</a:t>
          </a:r>
        </a:p>
      </xdr:txBody>
    </xdr:sp>
    <xdr:clientData/>
  </xdr:twoCellAnchor>
  <xdr:twoCellAnchor>
    <xdr:from>
      <xdr:col>1</xdr:col>
      <xdr:colOff>25400</xdr:colOff>
      <xdr:row>15</xdr:row>
      <xdr:rowOff>177800</xdr:rowOff>
    </xdr:from>
    <xdr:to>
      <xdr:col>3</xdr:col>
      <xdr:colOff>76200</xdr:colOff>
      <xdr:row>18</xdr:row>
      <xdr:rowOff>10160</xdr:rowOff>
    </xdr:to>
    <xdr:sp macro="" textlink="">
      <xdr:nvSpPr>
        <xdr:cNvPr id="8" name="Student_Sibel">
          <a:extLst>
            <a:ext uri="{FF2B5EF4-FFF2-40B4-BE49-F238E27FC236}">
              <a16:creationId xmlns:a16="http://schemas.microsoft.com/office/drawing/2014/main" id="{ADDF0BFE-AF1C-E576-13D2-968E251E19AA}"/>
            </a:ext>
          </a:extLst>
        </xdr:cNvPr>
        <xdr:cNvSpPr/>
      </xdr:nvSpPr>
      <xdr:spPr>
        <a:xfrm>
          <a:off x="635000" y="2921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Sibel</a:t>
          </a:r>
        </a:p>
      </xdr:txBody>
    </xdr:sp>
    <xdr:clientData/>
  </xdr:twoCellAnchor>
  <xdr:twoCellAnchor>
    <xdr:from>
      <xdr:col>1</xdr:col>
      <xdr:colOff>25400</xdr:colOff>
      <xdr:row>20</xdr:row>
      <xdr:rowOff>25400</xdr:rowOff>
    </xdr:from>
    <xdr:to>
      <xdr:col>3</xdr:col>
      <xdr:colOff>76200</xdr:colOff>
      <xdr:row>22</xdr:row>
      <xdr:rowOff>40640</xdr:rowOff>
    </xdr:to>
    <xdr:sp macro="" textlink="">
      <xdr:nvSpPr>
        <xdr:cNvPr id="9" name="Student_Thijs Vlonk">
          <a:extLst>
            <a:ext uri="{FF2B5EF4-FFF2-40B4-BE49-F238E27FC236}">
              <a16:creationId xmlns:a16="http://schemas.microsoft.com/office/drawing/2014/main" id="{7D58D3ED-67C9-085C-028C-D135B8164C3D}"/>
            </a:ext>
          </a:extLst>
        </xdr:cNvPr>
        <xdr:cNvSpPr/>
      </xdr:nvSpPr>
      <xdr:spPr>
        <a:xfrm>
          <a:off x="635000" y="3683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Thijs Vlonk</a:t>
          </a:r>
        </a:p>
      </xdr:txBody>
    </xdr:sp>
    <xdr:clientData/>
  </xdr:twoCellAnchor>
  <xdr:twoCellAnchor>
    <xdr:from>
      <xdr:col>6</xdr:col>
      <xdr:colOff>152400</xdr:colOff>
      <xdr:row>15</xdr:row>
      <xdr:rowOff>177800</xdr:rowOff>
    </xdr:from>
    <xdr:to>
      <xdr:col>7</xdr:col>
      <xdr:colOff>50800</xdr:colOff>
      <xdr:row>18</xdr:row>
      <xdr:rowOff>137160</xdr:rowOff>
    </xdr:to>
    <xdr:sp macro="" textlink="">
      <xdr:nvSpPr>
        <xdr:cNvPr id="10" name="Topic_D">
          <a:extLst>
            <a:ext uri="{FF2B5EF4-FFF2-40B4-BE49-F238E27FC236}">
              <a16:creationId xmlns:a16="http://schemas.microsoft.com/office/drawing/2014/main" id="{8BD4DF0A-D739-8B9C-5C90-F90118709194}"/>
            </a:ext>
          </a:extLst>
        </xdr:cNvPr>
        <xdr:cNvSpPr/>
      </xdr:nvSpPr>
      <xdr:spPr>
        <a:xfrm>
          <a:off x="3810000" y="2921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</a:t>
          </a:r>
        </a:p>
      </xdr:txBody>
    </xdr:sp>
    <xdr:clientData/>
  </xdr:twoCellAnchor>
  <xdr:twoCellAnchor>
    <xdr:from>
      <xdr:col>1</xdr:col>
      <xdr:colOff>25400</xdr:colOff>
      <xdr:row>24</xdr:row>
      <xdr:rowOff>55880</xdr:rowOff>
    </xdr:from>
    <xdr:to>
      <xdr:col>3</xdr:col>
      <xdr:colOff>76200</xdr:colOff>
      <xdr:row>26</xdr:row>
      <xdr:rowOff>71120</xdr:rowOff>
    </xdr:to>
    <xdr:sp macro="" textlink="">
      <xdr:nvSpPr>
        <xdr:cNvPr id="11" name="Student_Boukye ter Hoeven">
          <a:extLst>
            <a:ext uri="{FF2B5EF4-FFF2-40B4-BE49-F238E27FC236}">
              <a16:creationId xmlns:a16="http://schemas.microsoft.com/office/drawing/2014/main" id="{7B110931-AAB5-4C95-334D-1E80BD1173EC}"/>
            </a:ext>
          </a:extLst>
        </xdr:cNvPr>
        <xdr:cNvSpPr/>
      </xdr:nvSpPr>
      <xdr:spPr>
        <a:xfrm>
          <a:off x="635000" y="4445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Boukye ter Hoeven</a:t>
          </a:r>
        </a:p>
      </xdr:txBody>
    </xdr:sp>
    <xdr:clientData/>
  </xdr:twoCellAnchor>
  <xdr:twoCellAnchor>
    <xdr:from>
      <xdr:col>6</xdr:col>
      <xdr:colOff>152400</xdr:colOff>
      <xdr:row>20</xdr:row>
      <xdr:rowOff>25400</xdr:rowOff>
    </xdr:from>
    <xdr:to>
      <xdr:col>7</xdr:col>
      <xdr:colOff>50800</xdr:colOff>
      <xdr:row>22</xdr:row>
      <xdr:rowOff>167640</xdr:rowOff>
    </xdr:to>
    <xdr:sp macro="" textlink="">
      <xdr:nvSpPr>
        <xdr:cNvPr id="12" name="Topic_F">
          <a:extLst>
            <a:ext uri="{FF2B5EF4-FFF2-40B4-BE49-F238E27FC236}">
              <a16:creationId xmlns:a16="http://schemas.microsoft.com/office/drawing/2014/main" id="{03752A10-85C5-7223-DAD3-BCD0A3B3724A}"/>
            </a:ext>
          </a:extLst>
        </xdr:cNvPr>
        <xdr:cNvSpPr/>
      </xdr:nvSpPr>
      <xdr:spPr>
        <a:xfrm>
          <a:off x="3810000" y="3683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</a:t>
          </a:r>
        </a:p>
      </xdr:txBody>
    </xdr:sp>
    <xdr:clientData/>
  </xdr:twoCellAnchor>
  <xdr:twoCellAnchor>
    <xdr:from>
      <xdr:col>1</xdr:col>
      <xdr:colOff>25400</xdr:colOff>
      <xdr:row>28</xdr:row>
      <xdr:rowOff>86360</xdr:rowOff>
    </xdr:from>
    <xdr:to>
      <xdr:col>3</xdr:col>
      <xdr:colOff>76200</xdr:colOff>
      <xdr:row>30</xdr:row>
      <xdr:rowOff>101600</xdr:rowOff>
    </xdr:to>
    <xdr:sp macro="" textlink="">
      <xdr:nvSpPr>
        <xdr:cNvPr id="13" name="Student_Mayssa">
          <a:extLst>
            <a:ext uri="{FF2B5EF4-FFF2-40B4-BE49-F238E27FC236}">
              <a16:creationId xmlns:a16="http://schemas.microsoft.com/office/drawing/2014/main" id="{EEEBD8F1-2AE7-2DAC-49FB-7BE649AC263C}"/>
            </a:ext>
          </a:extLst>
        </xdr:cNvPr>
        <xdr:cNvSpPr/>
      </xdr:nvSpPr>
      <xdr:spPr>
        <a:xfrm>
          <a:off x="635000" y="5207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Mayssa</a:t>
          </a:r>
        </a:p>
      </xdr:txBody>
    </xdr:sp>
    <xdr:clientData/>
  </xdr:twoCellAnchor>
  <xdr:twoCellAnchor>
    <xdr:from>
      <xdr:col>1</xdr:col>
      <xdr:colOff>25400</xdr:colOff>
      <xdr:row>32</xdr:row>
      <xdr:rowOff>116840</xdr:rowOff>
    </xdr:from>
    <xdr:to>
      <xdr:col>3</xdr:col>
      <xdr:colOff>76200</xdr:colOff>
      <xdr:row>34</xdr:row>
      <xdr:rowOff>132080</xdr:rowOff>
    </xdr:to>
    <xdr:sp macro="" textlink="">
      <xdr:nvSpPr>
        <xdr:cNvPr id="14" name="Student_Valentine">
          <a:extLst>
            <a:ext uri="{FF2B5EF4-FFF2-40B4-BE49-F238E27FC236}">
              <a16:creationId xmlns:a16="http://schemas.microsoft.com/office/drawing/2014/main" id="{BC81B76D-7DF6-FDA5-4CE8-975367759DBF}"/>
            </a:ext>
          </a:extLst>
        </xdr:cNvPr>
        <xdr:cNvSpPr/>
      </xdr:nvSpPr>
      <xdr:spPr>
        <a:xfrm>
          <a:off x="635000" y="5969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Valentine</a:t>
          </a:r>
        </a:p>
      </xdr:txBody>
    </xdr:sp>
    <xdr:clientData/>
  </xdr:twoCellAnchor>
  <xdr:twoCellAnchor>
    <xdr:from>
      <xdr:col>6</xdr:col>
      <xdr:colOff>152400</xdr:colOff>
      <xdr:row>24</xdr:row>
      <xdr:rowOff>55880</xdr:rowOff>
    </xdr:from>
    <xdr:to>
      <xdr:col>7</xdr:col>
      <xdr:colOff>50800</xdr:colOff>
      <xdr:row>27</xdr:row>
      <xdr:rowOff>15240</xdr:rowOff>
    </xdr:to>
    <xdr:sp macro="" textlink="">
      <xdr:nvSpPr>
        <xdr:cNvPr id="15" name="Topic_A">
          <a:extLst>
            <a:ext uri="{FF2B5EF4-FFF2-40B4-BE49-F238E27FC236}">
              <a16:creationId xmlns:a16="http://schemas.microsoft.com/office/drawing/2014/main" id="{FE2FF0CF-267E-226A-0918-27F207AA77F4}"/>
            </a:ext>
          </a:extLst>
        </xdr:cNvPr>
        <xdr:cNvSpPr/>
      </xdr:nvSpPr>
      <xdr:spPr>
        <a:xfrm>
          <a:off x="3810000" y="4445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</a:t>
          </a:r>
        </a:p>
      </xdr:txBody>
    </xdr:sp>
    <xdr:clientData/>
  </xdr:twoCellAnchor>
  <xdr:twoCellAnchor>
    <xdr:from>
      <xdr:col>1</xdr:col>
      <xdr:colOff>25400</xdr:colOff>
      <xdr:row>36</xdr:row>
      <xdr:rowOff>147320</xdr:rowOff>
    </xdr:from>
    <xdr:to>
      <xdr:col>3</xdr:col>
      <xdr:colOff>76200</xdr:colOff>
      <xdr:row>38</xdr:row>
      <xdr:rowOff>162560</xdr:rowOff>
    </xdr:to>
    <xdr:sp macro="" textlink="">
      <xdr:nvSpPr>
        <xdr:cNvPr id="16" name="Student_Justin">
          <a:extLst>
            <a:ext uri="{FF2B5EF4-FFF2-40B4-BE49-F238E27FC236}">
              <a16:creationId xmlns:a16="http://schemas.microsoft.com/office/drawing/2014/main" id="{C1A3F32B-CA87-283D-9D13-9A873D634F32}"/>
            </a:ext>
          </a:extLst>
        </xdr:cNvPr>
        <xdr:cNvSpPr/>
      </xdr:nvSpPr>
      <xdr:spPr>
        <a:xfrm>
          <a:off x="635000" y="6731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Justin</a:t>
          </a:r>
        </a:p>
      </xdr:txBody>
    </xdr:sp>
    <xdr:clientData/>
  </xdr:twoCellAnchor>
  <xdr:twoCellAnchor>
    <xdr:from>
      <xdr:col>1</xdr:col>
      <xdr:colOff>25400</xdr:colOff>
      <xdr:row>40</xdr:row>
      <xdr:rowOff>177800</xdr:rowOff>
    </xdr:from>
    <xdr:to>
      <xdr:col>3</xdr:col>
      <xdr:colOff>76200</xdr:colOff>
      <xdr:row>43</xdr:row>
      <xdr:rowOff>10160</xdr:rowOff>
    </xdr:to>
    <xdr:sp macro="" textlink="">
      <xdr:nvSpPr>
        <xdr:cNvPr id="17" name="Student_Indynage">
          <a:extLst>
            <a:ext uri="{FF2B5EF4-FFF2-40B4-BE49-F238E27FC236}">
              <a16:creationId xmlns:a16="http://schemas.microsoft.com/office/drawing/2014/main" id="{900C14DD-CA3A-B937-6E65-5570B6E19189}"/>
            </a:ext>
          </a:extLst>
        </xdr:cNvPr>
        <xdr:cNvSpPr/>
      </xdr:nvSpPr>
      <xdr:spPr>
        <a:xfrm>
          <a:off x="635000" y="7493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Indynage</a:t>
          </a:r>
        </a:p>
      </xdr:txBody>
    </xdr:sp>
    <xdr:clientData/>
  </xdr:twoCellAnchor>
  <xdr:twoCellAnchor>
    <xdr:from>
      <xdr:col>1</xdr:col>
      <xdr:colOff>25400</xdr:colOff>
      <xdr:row>45</xdr:row>
      <xdr:rowOff>25400</xdr:rowOff>
    </xdr:from>
    <xdr:to>
      <xdr:col>3</xdr:col>
      <xdr:colOff>76200</xdr:colOff>
      <xdr:row>47</xdr:row>
      <xdr:rowOff>40640</xdr:rowOff>
    </xdr:to>
    <xdr:sp macro="" textlink="">
      <xdr:nvSpPr>
        <xdr:cNvPr id="18" name="Student_Claudia">
          <a:extLst>
            <a:ext uri="{FF2B5EF4-FFF2-40B4-BE49-F238E27FC236}">
              <a16:creationId xmlns:a16="http://schemas.microsoft.com/office/drawing/2014/main" id="{F89B7B5F-BBDD-F4C2-F7F2-775FCDE41829}"/>
            </a:ext>
          </a:extLst>
        </xdr:cNvPr>
        <xdr:cNvSpPr/>
      </xdr:nvSpPr>
      <xdr:spPr>
        <a:xfrm>
          <a:off x="635000" y="8255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Claudia</a:t>
          </a:r>
        </a:p>
      </xdr:txBody>
    </xdr:sp>
    <xdr:clientData/>
  </xdr:twoCellAnchor>
  <xdr:twoCellAnchor>
    <xdr:from>
      <xdr:col>6</xdr:col>
      <xdr:colOff>152400</xdr:colOff>
      <xdr:row>28</xdr:row>
      <xdr:rowOff>86360</xdr:rowOff>
    </xdr:from>
    <xdr:to>
      <xdr:col>7</xdr:col>
      <xdr:colOff>50800</xdr:colOff>
      <xdr:row>31</xdr:row>
      <xdr:rowOff>45720</xdr:rowOff>
    </xdr:to>
    <xdr:sp macro="" textlink="">
      <xdr:nvSpPr>
        <xdr:cNvPr id="19" name="Topic_H">
          <a:extLst>
            <a:ext uri="{FF2B5EF4-FFF2-40B4-BE49-F238E27FC236}">
              <a16:creationId xmlns:a16="http://schemas.microsoft.com/office/drawing/2014/main" id="{B6BAACA4-8EBA-3332-0E73-BF2DB21A6C90}"/>
            </a:ext>
          </a:extLst>
        </xdr:cNvPr>
        <xdr:cNvSpPr/>
      </xdr:nvSpPr>
      <xdr:spPr>
        <a:xfrm>
          <a:off x="3810000" y="5207000"/>
          <a:ext cx="508000" cy="508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25400</xdr:colOff>
      <xdr:row>49</xdr:row>
      <xdr:rowOff>55880</xdr:rowOff>
    </xdr:from>
    <xdr:to>
      <xdr:col>3</xdr:col>
      <xdr:colOff>76200</xdr:colOff>
      <xdr:row>51</xdr:row>
      <xdr:rowOff>71120</xdr:rowOff>
    </xdr:to>
    <xdr:sp macro="" textlink="">
      <xdr:nvSpPr>
        <xdr:cNvPr id="20" name="Student_Akanksha">
          <a:extLst>
            <a:ext uri="{FF2B5EF4-FFF2-40B4-BE49-F238E27FC236}">
              <a16:creationId xmlns:a16="http://schemas.microsoft.com/office/drawing/2014/main" id="{4DACBC79-7E1C-6AAB-B191-23377F617C82}"/>
            </a:ext>
          </a:extLst>
        </xdr:cNvPr>
        <xdr:cNvSpPr/>
      </xdr:nvSpPr>
      <xdr:spPr>
        <a:xfrm>
          <a:off x="635000" y="9017000"/>
          <a:ext cx="1270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Akanksha</a:t>
          </a:r>
        </a:p>
      </xdr:txBody>
    </xdr:sp>
    <xdr:clientData/>
  </xdr:twoCellAnchor>
  <xdr:twoCellAnchor>
    <xdr:from>
      <xdr:col>2</xdr:col>
      <xdr:colOff>50800</xdr:colOff>
      <xdr:row>3</xdr:row>
      <xdr:rowOff>86360</xdr:rowOff>
    </xdr:from>
    <xdr:to>
      <xdr:col>6</xdr:col>
      <xdr:colOff>406400</xdr:colOff>
      <xdr:row>5</xdr:row>
      <xdr:rowOff>101600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A686CA3E-2720-BA86-57F3-6D4C3347A135}"/>
            </a:ext>
          </a:extLst>
        </xdr:cNvPr>
        <xdr:cNvCxnSpPr>
          <a:stCxn id="2" idx="2"/>
          <a:endCxn id="3" idx="0"/>
        </xdr:cNvCxnSpPr>
      </xdr:nvCxnSpPr>
      <xdr:spPr>
        <a:xfrm flipV="1">
          <a:off x="1270000" y="635000"/>
          <a:ext cx="2794000" cy="381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4</xdr:row>
      <xdr:rowOff>157480</xdr:rowOff>
    </xdr:from>
    <xdr:to>
      <xdr:col>6</xdr:col>
      <xdr:colOff>152400</xdr:colOff>
      <xdr:row>15</xdr:row>
      <xdr:rowOff>177800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1C311CAD-A112-FD50-0E1C-C03657BEFD85}"/>
            </a:ext>
          </a:extLst>
        </xdr:cNvPr>
        <xdr:cNvCxnSpPr>
          <a:stCxn id="3" idx="2"/>
          <a:endCxn id="8" idx="0"/>
        </xdr:cNvCxnSpPr>
      </xdr:nvCxnSpPr>
      <xdr:spPr>
        <a:xfrm flipH="1">
          <a:off x="1270000" y="889000"/>
          <a:ext cx="2540000" cy="2032000"/>
        </a:xfrm>
        <a:prstGeom prst="straightConnector1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7</xdr:row>
      <xdr:rowOff>116840</xdr:rowOff>
    </xdr:from>
    <xdr:to>
      <xdr:col>6</xdr:col>
      <xdr:colOff>406400</xdr:colOff>
      <xdr:row>9</xdr:row>
      <xdr:rowOff>132080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AB66137-F8DC-20C5-1371-69115ABC212E}"/>
            </a:ext>
          </a:extLst>
        </xdr:cNvPr>
        <xdr:cNvCxnSpPr>
          <a:stCxn id="4" idx="2"/>
          <a:endCxn id="5" idx="0"/>
        </xdr:cNvCxnSpPr>
      </xdr:nvCxnSpPr>
      <xdr:spPr>
        <a:xfrm flipV="1">
          <a:off x="1270000" y="1397000"/>
          <a:ext cx="2794000" cy="381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7</xdr:row>
      <xdr:rowOff>116840</xdr:rowOff>
    </xdr:from>
    <xdr:to>
      <xdr:col>6</xdr:col>
      <xdr:colOff>152400</xdr:colOff>
      <xdr:row>9</xdr:row>
      <xdr:rowOff>5080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4F254243-200D-F73D-F76D-D43841DBB5AC}"/>
            </a:ext>
          </a:extLst>
        </xdr:cNvPr>
        <xdr:cNvCxnSpPr>
          <a:stCxn id="5" idx="2"/>
          <a:endCxn id="4" idx="0"/>
        </xdr:cNvCxnSpPr>
      </xdr:nvCxnSpPr>
      <xdr:spPr>
        <a:xfrm flipH="1" flipV="1">
          <a:off x="1270000" y="1397000"/>
          <a:ext cx="2540000" cy="254000"/>
        </a:xfrm>
        <a:prstGeom prst="straightConnector1">
          <a:avLst/>
        </a:prstGeom>
        <a:ln w="31750">
          <a:solidFill>
            <a:srgbClr val="00C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11</xdr:row>
      <xdr:rowOff>147320</xdr:rowOff>
    </xdr:from>
    <xdr:to>
      <xdr:col>6</xdr:col>
      <xdr:colOff>406400</xdr:colOff>
      <xdr:row>13</xdr:row>
      <xdr:rowOff>162560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AB54B62B-E650-17BA-3755-4C7ADCF9F3A3}"/>
            </a:ext>
          </a:extLst>
        </xdr:cNvPr>
        <xdr:cNvCxnSpPr>
          <a:stCxn id="6" idx="2"/>
          <a:endCxn id="7" idx="0"/>
        </xdr:cNvCxnSpPr>
      </xdr:nvCxnSpPr>
      <xdr:spPr>
        <a:xfrm flipV="1">
          <a:off x="1270000" y="2159000"/>
          <a:ext cx="2794000" cy="381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13</xdr:row>
      <xdr:rowOff>35560</xdr:rowOff>
    </xdr:from>
    <xdr:to>
      <xdr:col>6</xdr:col>
      <xdr:colOff>152400</xdr:colOff>
      <xdr:row>40</xdr:row>
      <xdr:rowOff>177800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70F11641-C93F-884A-E527-38A03C90245A}"/>
            </a:ext>
          </a:extLst>
        </xdr:cNvPr>
        <xdr:cNvCxnSpPr>
          <a:stCxn id="7" idx="2"/>
          <a:endCxn id="17" idx="0"/>
        </xdr:cNvCxnSpPr>
      </xdr:nvCxnSpPr>
      <xdr:spPr>
        <a:xfrm flipH="1">
          <a:off x="1270000" y="2413000"/>
          <a:ext cx="2540000" cy="5080000"/>
        </a:xfrm>
        <a:prstGeom prst="straightConnector1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3</xdr:row>
      <xdr:rowOff>86360</xdr:rowOff>
    </xdr:from>
    <xdr:to>
      <xdr:col>6</xdr:col>
      <xdr:colOff>406400</xdr:colOff>
      <xdr:row>18</xdr:row>
      <xdr:rowOff>10160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287CF2B0-31D5-B9DB-5EDE-5ABE85066FD7}"/>
            </a:ext>
          </a:extLst>
        </xdr:cNvPr>
        <xdr:cNvCxnSpPr>
          <a:stCxn id="8" idx="2"/>
          <a:endCxn id="3" idx="0"/>
        </xdr:cNvCxnSpPr>
      </xdr:nvCxnSpPr>
      <xdr:spPr>
        <a:xfrm flipV="1">
          <a:off x="1270000" y="635000"/>
          <a:ext cx="2794000" cy="2667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4</xdr:row>
      <xdr:rowOff>157480</xdr:rowOff>
    </xdr:from>
    <xdr:to>
      <xdr:col>6</xdr:col>
      <xdr:colOff>152400</xdr:colOff>
      <xdr:row>15</xdr:row>
      <xdr:rowOff>177800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AF145B09-84BD-B75D-F25B-FF6A2EE35FB0}"/>
            </a:ext>
          </a:extLst>
        </xdr:cNvPr>
        <xdr:cNvCxnSpPr>
          <a:stCxn id="3" idx="2"/>
          <a:endCxn id="8" idx="0"/>
        </xdr:cNvCxnSpPr>
      </xdr:nvCxnSpPr>
      <xdr:spPr>
        <a:xfrm flipH="1">
          <a:off x="1270000" y="889000"/>
          <a:ext cx="2540000" cy="2032000"/>
        </a:xfrm>
        <a:prstGeom prst="straightConnector1">
          <a:avLst/>
        </a:prstGeom>
        <a:ln w="31750">
          <a:solidFill>
            <a:srgbClr val="00C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15</xdr:row>
      <xdr:rowOff>177800</xdr:rowOff>
    </xdr:from>
    <xdr:to>
      <xdr:col>6</xdr:col>
      <xdr:colOff>406400</xdr:colOff>
      <xdr:row>22</xdr:row>
      <xdr:rowOff>40640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2BBA9E8D-AA4C-70BD-3BC0-2821C64A7B84}"/>
            </a:ext>
          </a:extLst>
        </xdr:cNvPr>
        <xdr:cNvCxnSpPr>
          <a:stCxn id="9" idx="2"/>
          <a:endCxn id="10" idx="0"/>
        </xdr:cNvCxnSpPr>
      </xdr:nvCxnSpPr>
      <xdr:spPr>
        <a:xfrm flipV="1">
          <a:off x="1270000" y="2921000"/>
          <a:ext cx="2794000" cy="1143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3</xdr:row>
      <xdr:rowOff>86360</xdr:rowOff>
    </xdr:from>
    <xdr:to>
      <xdr:col>6</xdr:col>
      <xdr:colOff>152400</xdr:colOff>
      <xdr:row>17</xdr:row>
      <xdr:rowOff>66040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F512FB2B-CE8F-621A-46E2-A4C080C45677}"/>
            </a:ext>
          </a:extLst>
        </xdr:cNvPr>
        <xdr:cNvCxnSpPr>
          <a:stCxn id="10" idx="2"/>
          <a:endCxn id="2" idx="0"/>
        </xdr:cNvCxnSpPr>
      </xdr:nvCxnSpPr>
      <xdr:spPr>
        <a:xfrm flipH="1" flipV="1">
          <a:off x="1270000" y="635000"/>
          <a:ext cx="2540000" cy="2540000"/>
        </a:xfrm>
        <a:prstGeom prst="straightConnector1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20</xdr:row>
      <xdr:rowOff>25400</xdr:rowOff>
    </xdr:from>
    <xdr:to>
      <xdr:col>6</xdr:col>
      <xdr:colOff>406400</xdr:colOff>
      <xdr:row>26</xdr:row>
      <xdr:rowOff>71120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7C6452A8-B3AA-0FA0-8F0E-CF3BAAE3C03A}"/>
            </a:ext>
          </a:extLst>
        </xdr:cNvPr>
        <xdr:cNvCxnSpPr>
          <a:stCxn id="11" idx="2"/>
          <a:endCxn id="12" idx="0"/>
        </xdr:cNvCxnSpPr>
      </xdr:nvCxnSpPr>
      <xdr:spPr>
        <a:xfrm flipV="1">
          <a:off x="1270000" y="3683000"/>
          <a:ext cx="2794000" cy="1143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21</xdr:row>
      <xdr:rowOff>96520</xdr:rowOff>
    </xdr:from>
    <xdr:to>
      <xdr:col>6</xdr:col>
      <xdr:colOff>152400</xdr:colOff>
      <xdr:row>28</xdr:row>
      <xdr:rowOff>86360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846DC9F9-2BB0-2EF7-C729-96B130306F2F}"/>
            </a:ext>
          </a:extLst>
        </xdr:cNvPr>
        <xdr:cNvCxnSpPr>
          <a:stCxn id="12" idx="2"/>
          <a:endCxn id="13" idx="0"/>
        </xdr:cNvCxnSpPr>
      </xdr:nvCxnSpPr>
      <xdr:spPr>
        <a:xfrm flipH="1">
          <a:off x="1270000" y="3937000"/>
          <a:ext cx="2540000" cy="1270000"/>
        </a:xfrm>
        <a:prstGeom prst="straightConnector1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20</xdr:row>
      <xdr:rowOff>25400</xdr:rowOff>
    </xdr:from>
    <xdr:to>
      <xdr:col>6</xdr:col>
      <xdr:colOff>406400</xdr:colOff>
      <xdr:row>30</xdr:row>
      <xdr:rowOff>101600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A8A78353-AB99-9D8E-905B-893245F1E1D7}"/>
            </a:ext>
          </a:extLst>
        </xdr:cNvPr>
        <xdr:cNvCxnSpPr>
          <a:stCxn id="13" idx="2"/>
          <a:endCxn id="12" idx="0"/>
        </xdr:cNvCxnSpPr>
      </xdr:nvCxnSpPr>
      <xdr:spPr>
        <a:xfrm flipV="1">
          <a:off x="1270000" y="3683000"/>
          <a:ext cx="2794000" cy="1905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21</xdr:row>
      <xdr:rowOff>96520</xdr:rowOff>
    </xdr:from>
    <xdr:to>
      <xdr:col>6</xdr:col>
      <xdr:colOff>152400</xdr:colOff>
      <xdr:row>28</xdr:row>
      <xdr:rowOff>86360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EE70779B-EAEB-45C4-5EA8-5228F98ED312}"/>
            </a:ext>
          </a:extLst>
        </xdr:cNvPr>
        <xdr:cNvCxnSpPr>
          <a:stCxn id="12" idx="2"/>
          <a:endCxn id="13" idx="0"/>
        </xdr:cNvCxnSpPr>
      </xdr:nvCxnSpPr>
      <xdr:spPr>
        <a:xfrm flipH="1">
          <a:off x="1270000" y="3937000"/>
          <a:ext cx="2540000" cy="1270000"/>
        </a:xfrm>
        <a:prstGeom prst="straightConnector1">
          <a:avLst/>
        </a:prstGeom>
        <a:ln w="31750">
          <a:solidFill>
            <a:srgbClr val="00C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24</xdr:row>
      <xdr:rowOff>55880</xdr:rowOff>
    </xdr:from>
    <xdr:to>
      <xdr:col>6</xdr:col>
      <xdr:colOff>406400</xdr:colOff>
      <xdr:row>34</xdr:row>
      <xdr:rowOff>132080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975CB8B8-237B-E055-2D13-297DE42254E5}"/>
            </a:ext>
          </a:extLst>
        </xdr:cNvPr>
        <xdr:cNvCxnSpPr>
          <a:stCxn id="14" idx="2"/>
          <a:endCxn id="15" idx="0"/>
        </xdr:cNvCxnSpPr>
      </xdr:nvCxnSpPr>
      <xdr:spPr>
        <a:xfrm flipV="1">
          <a:off x="1270000" y="4445000"/>
          <a:ext cx="2794000" cy="1905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25</xdr:row>
      <xdr:rowOff>127000</xdr:rowOff>
    </xdr:from>
    <xdr:to>
      <xdr:col>6</xdr:col>
      <xdr:colOff>152400</xdr:colOff>
      <xdr:row>32</xdr:row>
      <xdr:rowOff>116840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27416445-DCE0-77E3-ADEC-47261BD5E01F}"/>
            </a:ext>
          </a:extLst>
        </xdr:cNvPr>
        <xdr:cNvCxnSpPr>
          <a:stCxn id="15" idx="2"/>
          <a:endCxn id="14" idx="0"/>
        </xdr:cNvCxnSpPr>
      </xdr:nvCxnSpPr>
      <xdr:spPr>
        <a:xfrm flipH="1">
          <a:off x="1270000" y="4699000"/>
          <a:ext cx="2540000" cy="1270000"/>
        </a:xfrm>
        <a:prstGeom prst="straightConnector1">
          <a:avLst/>
        </a:prstGeom>
        <a:ln w="31750">
          <a:solidFill>
            <a:srgbClr val="00C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3</xdr:row>
      <xdr:rowOff>86360</xdr:rowOff>
    </xdr:from>
    <xdr:to>
      <xdr:col>6</xdr:col>
      <xdr:colOff>406400</xdr:colOff>
      <xdr:row>38</xdr:row>
      <xdr:rowOff>162560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582025C1-BDDE-8599-BE71-DBADF57AB018}"/>
            </a:ext>
          </a:extLst>
        </xdr:cNvPr>
        <xdr:cNvCxnSpPr>
          <a:stCxn id="16" idx="2"/>
          <a:endCxn id="3" idx="0"/>
        </xdr:cNvCxnSpPr>
      </xdr:nvCxnSpPr>
      <xdr:spPr>
        <a:xfrm flipV="1">
          <a:off x="1270000" y="635000"/>
          <a:ext cx="2794000" cy="6477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4</xdr:row>
      <xdr:rowOff>157480</xdr:rowOff>
    </xdr:from>
    <xdr:to>
      <xdr:col>6</xdr:col>
      <xdr:colOff>152400</xdr:colOff>
      <xdr:row>15</xdr:row>
      <xdr:rowOff>177800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A1FA019A-FD43-751A-2D98-7AE61A2F21A3}"/>
            </a:ext>
          </a:extLst>
        </xdr:cNvPr>
        <xdr:cNvCxnSpPr>
          <a:stCxn id="3" idx="2"/>
          <a:endCxn id="8" idx="0"/>
        </xdr:cNvCxnSpPr>
      </xdr:nvCxnSpPr>
      <xdr:spPr>
        <a:xfrm flipH="1">
          <a:off x="1270000" y="889000"/>
          <a:ext cx="2540000" cy="2032000"/>
        </a:xfrm>
        <a:prstGeom prst="straightConnector1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11</xdr:row>
      <xdr:rowOff>147320</xdr:rowOff>
    </xdr:from>
    <xdr:to>
      <xdr:col>6</xdr:col>
      <xdr:colOff>406400</xdr:colOff>
      <xdr:row>43</xdr:row>
      <xdr:rowOff>10160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54429650-CB17-90FB-4448-0A10803EAAE3}"/>
            </a:ext>
          </a:extLst>
        </xdr:cNvPr>
        <xdr:cNvCxnSpPr>
          <a:stCxn id="17" idx="2"/>
          <a:endCxn id="7" idx="0"/>
        </xdr:cNvCxnSpPr>
      </xdr:nvCxnSpPr>
      <xdr:spPr>
        <a:xfrm flipV="1">
          <a:off x="1270000" y="2159000"/>
          <a:ext cx="2794000" cy="5715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13</xdr:row>
      <xdr:rowOff>35560</xdr:rowOff>
    </xdr:from>
    <xdr:to>
      <xdr:col>6</xdr:col>
      <xdr:colOff>152400</xdr:colOff>
      <xdr:row>40</xdr:row>
      <xdr:rowOff>177800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14E2889-C380-4344-B972-18FAA38D3AD5}"/>
            </a:ext>
          </a:extLst>
        </xdr:cNvPr>
        <xdr:cNvCxnSpPr>
          <a:stCxn id="7" idx="2"/>
          <a:endCxn id="17" idx="0"/>
        </xdr:cNvCxnSpPr>
      </xdr:nvCxnSpPr>
      <xdr:spPr>
        <a:xfrm flipH="1">
          <a:off x="1270000" y="2413000"/>
          <a:ext cx="2540000" cy="5080000"/>
        </a:xfrm>
        <a:prstGeom prst="straightConnector1">
          <a:avLst/>
        </a:prstGeom>
        <a:ln w="31750">
          <a:solidFill>
            <a:srgbClr val="00C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28</xdr:row>
      <xdr:rowOff>86360</xdr:rowOff>
    </xdr:from>
    <xdr:to>
      <xdr:col>6</xdr:col>
      <xdr:colOff>406400</xdr:colOff>
      <xdr:row>47</xdr:row>
      <xdr:rowOff>40640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F54DBD69-D54E-AC00-F017-A150C32C230D}"/>
            </a:ext>
          </a:extLst>
        </xdr:cNvPr>
        <xdr:cNvCxnSpPr>
          <a:stCxn id="18" idx="2"/>
          <a:endCxn id="19" idx="0"/>
        </xdr:cNvCxnSpPr>
      </xdr:nvCxnSpPr>
      <xdr:spPr>
        <a:xfrm flipV="1">
          <a:off x="1270000" y="5207000"/>
          <a:ext cx="2794000" cy="3429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29</xdr:row>
      <xdr:rowOff>157480</xdr:rowOff>
    </xdr:from>
    <xdr:to>
      <xdr:col>6</xdr:col>
      <xdr:colOff>152400</xdr:colOff>
      <xdr:row>45</xdr:row>
      <xdr:rowOff>25400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D7E3F125-74C3-4E38-56DE-13821A3B8110}"/>
            </a:ext>
          </a:extLst>
        </xdr:cNvPr>
        <xdr:cNvCxnSpPr>
          <a:stCxn id="19" idx="2"/>
          <a:endCxn id="18" idx="0"/>
        </xdr:cNvCxnSpPr>
      </xdr:nvCxnSpPr>
      <xdr:spPr>
        <a:xfrm flipH="1">
          <a:off x="1270000" y="5461000"/>
          <a:ext cx="2540000" cy="2794000"/>
        </a:xfrm>
        <a:prstGeom prst="straightConnector1">
          <a:avLst/>
        </a:prstGeom>
        <a:ln w="31750">
          <a:solidFill>
            <a:srgbClr val="00C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3</xdr:row>
      <xdr:rowOff>86360</xdr:rowOff>
    </xdr:from>
    <xdr:to>
      <xdr:col>6</xdr:col>
      <xdr:colOff>406400</xdr:colOff>
      <xdr:row>51</xdr:row>
      <xdr:rowOff>71120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7067FF5D-7737-0ED8-64DD-088D64C22AD3}"/>
            </a:ext>
          </a:extLst>
        </xdr:cNvPr>
        <xdr:cNvCxnSpPr>
          <a:stCxn id="20" idx="2"/>
          <a:endCxn id="3" idx="0"/>
        </xdr:cNvCxnSpPr>
      </xdr:nvCxnSpPr>
      <xdr:spPr>
        <a:xfrm flipV="1">
          <a:off x="1270000" y="635000"/>
          <a:ext cx="2794000" cy="8763000"/>
        </a:xfrm>
        <a:prstGeom prst="straightConnector1">
          <a:avLst/>
        </a:prstGeom>
        <a:ln w="317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4</xdr:row>
      <xdr:rowOff>157480</xdr:rowOff>
    </xdr:from>
    <xdr:to>
      <xdr:col>6</xdr:col>
      <xdr:colOff>152400</xdr:colOff>
      <xdr:row>15</xdr:row>
      <xdr:rowOff>177800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5528FE8-1D03-2CF9-B5ED-6CCE81B2ED97}"/>
            </a:ext>
          </a:extLst>
        </xdr:cNvPr>
        <xdr:cNvCxnSpPr>
          <a:stCxn id="3" idx="2"/>
          <a:endCxn id="8" idx="0"/>
        </xdr:cNvCxnSpPr>
      </xdr:nvCxnSpPr>
      <xdr:spPr>
        <a:xfrm flipH="1">
          <a:off x="1270000" y="889000"/>
          <a:ext cx="2540000" cy="2032000"/>
        </a:xfrm>
        <a:prstGeom prst="straightConnector1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3"/>
  <sheetViews>
    <sheetView tabSelected="1" zoomScale="126" workbookViewId="0">
      <selection activeCell="D19" sqref="D19"/>
    </sheetView>
  </sheetViews>
  <sheetFormatPr defaultRowHeight="14.4" x14ac:dyDescent="0.3"/>
  <cols>
    <col min="1" max="1" width="23.21875" customWidth="1"/>
    <col min="2" max="2" width="16.88671875" customWidth="1"/>
    <col min="3" max="3" width="14.109375" customWidth="1"/>
    <col min="4" max="4" width="9.77734375" customWidth="1"/>
    <col min="5" max="5" width="9.44140625" customWidth="1"/>
    <col min="6" max="6" width="6.88671875" customWidth="1"/>
    <col min="7" max="7" width="5.77734375" customWidth="1"/>
    <col min="15" max="15" width="15.109375" customWidth="1"/>
    <col min="16" max="16" width="24.109375" customWidth="1"/>
    <col min="17" max="17" width="12.33203125" customWidth="1"/>
  </cols>
  <sheetData>
    <row r="1" spans="1:17" x14ac:dyDescent="0.3">
      <c r="A1" t="s">
        <v>15</v>
      </c>
      <c r="B1" t="s">
        <v>0</v>
      </c>
      <c r="C1" t="s">
        <v>4</v>
      </c>
      <c r="D1" t="s">
        <v>7</v>
      </c>
      <c r="E1" t="s">
        <v>29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s="1" t="s">
        <v>12</v>
      </c>
      <c r="P1" t="s">
        <v>27</v>
      </c>
      <c r="Q1" s="2" t="s">
        <v>28</v>
      </c>
    </row>
    <row r="2" spans="1:17" x14ac:dyDescent="0.3">
      <c r="A2" t="s">
        <v>22</v>
      </c>
      <c r="B2">
        <v>6714129</v>
      </c>
      <c r="C2" t="s">
        <v>1</v>
      </c>
      <c r="D2" t="s">
        <v>6</v>
      </c>
      <c r="E2" t="s">
        <v>10</v>
      </c>
      <c r="F2" t="s">
        <v>8</v>
      </c>
      <c r="G2" t="s">
        <v>11</v>
      </c>
      <c r="H2" t="s">
        <v>13</v>
      </c>
      <c r="I2" t="s">
        <v>5</v>
      </c>
      <c r="J2" t="s">
        <v>3</v>
      </c>
      <c r="K2" t="s">
        <v>9</v>
      </c>
      <c r="L2" t="s">
        <v>2</v>
      </c>
      <c r="M2" t="s">
        <v>30</v>
      </c>
      <c r="N2" t="s">
        <v>14</v>
      </c>
      <c r="O2" s="1" t="s">
        <v>6</v>
      </c>
      <c r="P2">
        <v>2</v>
      </c>
      <c r="Q2">
        <f>0.25*(1-(P2-1)/(12-1))</f>
        <v>0.22727272727272727</v>
      </c>
    </row>
    <row r="3" spans="1:17" x14ac:dyDescent="0.3">
      <c r="A3" t="s">
        <v>23</v>
      </c>
      <c r="B3">
        <v>6442273</v>
      </c>
      <c r="C3" t="s">
        <v>2</v>
      </c>
      <c r="D3" t="s">
        <v>8</v>
      </c>
      <c r="E3" t="s">
        <v>9</v>
      </c>
      <c r="F3" t="s">
        <v>5</v>
      </c>
      <c r="G3" t="s">
        <v>13</v>
      </c>
      <c r="H3" t="s">
        <v>14</v>
      </c>
      <c r="I3" t="s">
        <v>11</v>
      </c>
      <c r="J3" t="s">
        <v>10</v>
      </c>
      <c r="K3" t="s">
        <v>1</v>
      </c>
      <c r="L3" t="s">
        <v>6</v>
      </c>
      <c r="M3" t="s">
        <v>3</v>
      </c>
      <c r="N3" t="s">
        <v>30</v>
      </c>
      <c r="O3" s="1" t="s">
        <v>2</v>
      </c>
      <c r="P3">
        <v>1</v>
      </c>
      <c r="Q3">
        <f>0.25*(1-(P3-1)/(12-1))</f>
        <v>0.25</v>
      </c>
    </row>
    <row r="4" spans="1:17" x14ac:dyDescent="0.3">
      <c r="A4" t="s">
        <v>41</v>
      </c>
      <c r="B4">
        <v>6418767</v>
      </c>
      <c r="C4" t="s">
        <v>3</v>
      </c>
      <c r="D4" t="s">
        <v>9</v>
      </c>
      <c r="E4" t="s">
        <v>10</v>
      </c>
      <c r="F4" t="s">
        <v>8</v>
      </c>
      <c r="G4" t="s">
        <v>5</v>
      </c>
      <c r="H4" t="s">
        <v>14</v>
      </c>
      <c r="I4" t="s">
        <v>13</v>
      </c>
      <c r="J4" t="s">
        <v>1</v>
      </c>
      <c r="K4" t="s">
        <v>30</v>
      </c>
      <c r="L4" t="s">
        <v>6</v>
      </c>
      <c r="M4" t="s">
        <v>11</v>
      </c>
      <c r="N4" t="s">
        <v>2</v>
      </c>
      <c r="O4" s="1" t="s">
        <v>9</v>
      </c>
      <c r="P4">
        <v>2</v>
      </c>
      <c r="Q4">
        <f t="shared" ref="Q4:Q13" si="0">0.25*(1-(P4-1)/(12-1))</f>
        <v>0.22727272727272727</v>
      </c>
    </row>
    <row r="5" spans="1:17" x14ac:dyDescent="0.3">
      <c r="A5" t="s">
        <v>24</v>
      </c>
      <c r="B5">
        <v>163732</v>
      </c>
      <c r="C5" t="s">
        <v>1</v>
      </c>
      <c r="D5" t="s">
        <v>5</v>
      </c>
      <c r="E5" t="s">
        <v>6</v>
      </c>
      <c r="F5" t="s">
        <v>8</v>
      </c>
      <c r="G5" t="s">
        <v>14</v>
      </c>
      <c r="H5" t="s">
        <v>13</v>
      </c>
      <c r="I5" t="s">
        <v>3</v>
      </c>
      <c r="J5" t="s">
        <v>9</v>
      </c>
      <c r="K5" t="s">
        <v>11</v>
      </c>
      <c r="L5" t="s">
        <v>2</v>
      </c>
      <c r="M5" t="s">
        <v>10</v>
      </c>
      <c r="N5" t="s">
        <v>30</v>
      </c>
      <c r="O5" s="1" t="s">
        <v>1</v>
      </c>
      <c r="P5">
        <v>1</v>
      </c>
      <c r="Q5">
        <f t="shared" si="0"/>
        <v>0.25</v>
      </c>
    </row>
    <row r="6" spans="1:17" x14ac:dyDescent="0.3">
      <c r="A6" t="s">
        <v>26</v>
      </c>
      <c r="B6">
        <v>6444142</v>
      </c>
      <c r="C6" t="s">
        <v>6</v>
      </c>
      <c r="D6" t="s">
        <v>10</v>
      </c>
      <c r="E6" t="s">
        <v>11</v>
      </c>
      <c r="F6" t="s">
        <v>3</v>
      </c>
      <c r="G6" t="s">
        <v>14</v>
      </c>
      <c r="H6" t="s">
        <v>30</v>
      </c>
      <c r="I6" t="s">
        <v>10</v>
      </c>
      <c r="J6" t="s">
        <v>2</v>
      </c>
      <c r="K6" t="s">
        <v>1</v>
      </c>
      <c r="L6" t="s">
        <v>13</v>
      </c>
      <c r="M6" t="s">
        <v>5</v>
      </c>
      <c r="N6" t="s">
        <v>9</v>
      </c>
      <c r="O6" s="1" t="s">
        <v>10</v>
      </c>
      <c r="P6">
        <v>2</v>
      </c>
      <c r="Q6">
        <f t="shared" si="0"/>
        <v>0.22727272727272727</v>
      </c>
    </row>
    <row r="7" spans="1:17" x14ac:dyDescent="0.3">
      <c r="A7" t="s">
        <v>25</v>
      </c>
      <c r="B7">
        <v>6263312</v>
      </c>
      <c r="C7" t="s">
        <v>11</v>
      </c>
      <c r="D7" t="s">
        <v>8</v>
      </c>
      <c r="E7" t="s">
        <v>6</v>
      </c>
      <c r="F7" t="s">
        <v>14</v>
      </c>
      <c r="G7" t="s">
        <v>1</v>
      </c>
      <c r="H7" t="s">
        <v>13</v>
      </c>
      <c r="I7" t="s">
        <v>2</v>
      </c>
      <c r="J7" t="s">
        <v>5</v>
      </c>
      <c r="K7" t="s">
        <v>30</v>
      </c>
      <c r="L7" t="s">
        <v>3</v>
      </c>
      <c r="M7" t="s">
        <v>9</v>
      </c>
      <c r="N7" t="s">
        <v>10</v>
      </c>
      <c r="O7" s="1" t="s">
        <v>8</v>
      </c>
      <c r="P7">
        <v>2</v>
      </c>
      <c r="Q7">
        <f t="shared" si="0"/>
        <v>0.22727272727272727</v>
      </c>
    </row>
    <row r="8" spans="1:17" x14ac:dyDescent="0.3">
      <c r="A8" t="s">
        <v>21</v>
      </c>
      <c r="B8">
        <v>1632836</v>
      </c>
      <c r="C8" t="s">
        <v>11</v>
      </c>
      <c r="D8" t="s">
        <v>9</v>
      </c>
      <c r="E8" t="s">
        <v>6</v>
      </c>
      <c r="F8" t="s">
        <v>5</v>
      </c>
      <c r="G8" t="s">
        <v>1</v>
      </c>
      <c r="H8" t="s">
        <v>30</v>
      </c>
      <c r="I8" t="s">
        <v>3</v>
      </c>
      <c r="J8" t="s">
        <v>14</v>
      </c>
      <c r="K8" t="s">
        <v>2</v>
      </c>
      <c r="L8" t="s">
        <v>13</v>
      </c>
      <c r="M8" t="s">
        <v>8</v>
      </c>
      <c r="N8" t="s">
        <v>10</v>
      </c>
      <c r="O8" s="1" t="s">
        <v>11</v>
      </c>
      <c r="P8">
        <v>1</v>
      </c>
      <c r="Q8">
        <f t="shared" si="0"/>
        <v>0.25</v>
      </c>
    </row>
    <row r="9" spans="1:17" x14ac:dyDescent="0.3">
      <c r="A9" t="s">
        <v>20</v>
      </c>
      <c r="B9">
        <v>6308986</v>
      </c>
      <c r="C9" t="s">
        <v>13</v>
      </c>
      <c r="D9" t="s">
        <v>1</v>
      </c>
      <c r="E9" t="s">
        <v>2</v>
      </c>
      <c r="F9" t="s">
        <v>8</v>
      </c>
      <c r="G9" t="s">
        <v>5</v>
      </c>
      <c r="H9" t="s">
        <v>6</v>
      </c>
      <c r="I9" t="s">
        <v>30</v>
      </c>
      <c r="J9" t="s">
        <v>11</v>
      </c>
      <c r="K9" t="s">
        <v>14</v>
      </c>
      <c r="L9" t="s">
        <v>9</v>
      </c>
      <c r="M9" t="s">
        <v>3</v>
      </c>
      <c r="N9" t="s">
        <v>10</v>
      </c>
      <c r="O9" s="1" t="s">
        <v>13</v>
      </c>
      <c r="P9">
        <v>1</v>
      </c>
      <c r="Q9">
        <f t="shared" si="0"/>
        <v>0.25</v>
      </c>
    </row>
    <row r="10" spans="1:17" x14ac:dyDescent="0.3">
      <c r="A10" t="s">
        <v>19</v>
      </c>
      <c r="B10">
        <v>6330530</v>
      </c>
      <c r="C10" t="s">
        <v>1</v>
      </c>
      <c r="D10" t="s">
        <v>14</v>
      </c>
      <c r="E10" t="s">
        <v>13</v>
      </c>
      <c r="F10" t="s">
        <v>3</v>
      </c>
      <c r="G10" t="s">
        <v>10</v>
      </c>
      <c r="H10" t="s">
        <v>5</v>
      </c>
      <c r="I10" t="s">
        <v>8</v>
      </c>
      <c r="J10" t="s">
        <v>11</v>
      </c>
      <c r="K10" t="s">
        <v>2</v>
      </c>
      <c r="L10" t="s">
        <v>6</v>
      </c>
      <c r="M10" t="s">
        <v>30</v>
      </c>
      <c r="N10" t="s">
        <v>9</v>
      </c>
      <c r="O10" s="1" t="s">
        <v>14</v>
      </c>
      <c r="P10">
        <v>2</v>
      </c>
      <c r="Q10">
        <f t="shared" si="0"/>
        <v>0.22727272727272727</v>
      </c>
    </row>
    <row r="11" spans="1:17" x14ac:dyDescent="0.3">
      <c r="A11" t="s">
        <v>18</v>
      </c>
      <c r="B11">
        <v>6281254</v>
      </c>
      <c r="C11" t="s">
        <v>3</v>
      </c>
      <c r="D11" t="s">
        <v>6</v>
      </c>
      <c r="E11" t="s">
        <v>30</v>
      </c>
      <c r="F11" t="s">
        <v>13</v>
      </c>
      <c r="G11" t="s">
        <v>5</v>
      </c>
      <c r="H11" t="s">
        <v>14</v>
      </c>
      <c r="I11" t="s">
        <v>11</v>
      </c>
      <c r="J11" t="s">
        <v>8</v>
      </c>
      <c r="K11" t="s">
        <v>1</v>
      </c>
      <c r="L11" t="s">
        <v>2</v>
      </c>
      <c r="M11" t="s">
        <v>9</v>
      </c>
      <c r="N11" t="s">
        <v>10</v>
      </c>
      <c r="O11" s="1" t="s">
        <v>3</v>
      </c>
      <c r="P11">
        <v>1</v>
      </c>
      <c r="Q11">
        <f t="shared" si="0"/>
        <v>0.25</v>
      </c>
    </row>
    <row r="12" spans="1:17" x14ac:dyDescent="0.3">
      <c r="A12" t="s">
        <v>17</v>
      </c>
      <c r="B12">
        <v>6273807</v>
      </c>
      <c r="C12" t="s">
        <v>5</v>
      </c>
      <c r="D12" t="s">
        <v>11</v>
      </c>
      <c r="E12" t="s">
        <v>1</v>
      </c>
      <c r="F12" t="s">
        <v>3</v>
      </c>
      <c r="G12" t="s">
        <v>9</v>
      </c>
      <c r="H12" t="s">
        <v>13</v>
      </c>
      <c r="I12" t="s">
        <v>8</v>
      </c>
      <c r="J12" t="s">
        <v>14</v>
      </c>
      <c r="K12" t="s">
        <v>2</v>
      </c>
      <c r="L12" t="s">
        <v>10</v>
      </c>
      <c r="M12" t="s">
        <v>6</v>
      </c>
      <c r="N12" t="s">
        <v>30</v>
      </c>
      <c r="O12" s="1" t="s">
        <v>5</v>
      </c>
      <c r="P12">
        <v>1</v>
      </c>
      <c r="Q12">
        <f t="shared" si="0"/>
        <v>0.25</v>
      </c>
    </row>
    <row r="13" spans="1:17" x14ac:dyDescent="0.3">
      <c r="A13" t="s">
        <v>16</v>
      </c>
      <c r="B13">
        <v>6424105</v>
      </c>
      <c r="C13" t="s">
        <v>1</v>
      </c>
      <c r="D13" t="s">
        <v>30</v>
      </c>
      <c r="E13" t="s">
        <v>13</v>
      </c>
      <c r="F13" t="s">
        <v>8</v>
      </c>
      <c r="G13" t="s">
        <v>11</v>
      </c>
      <c r="H13" t="s">
        <v>6</v>
      </c>
      <c r="I13" t="s">
        <v>10</v>
      </c>
      <c r="J13" t="s">
        <v>3</v>
      </c>
      <c r="K13" t="s">
        <v>2</v>
      </c>
      <c r="L13" t="s">
        <v>14</v>
      </c>
      <c r="M13" t="s">
        <v>9</v>
      </c>
      <c r="N13" t="s">
        <v>5</v>
      </c>
      <c r="O13" s="1" t="s">
        <v>40</v>
      </c>
      <c r="P13">
        <v>2</v>
      </c>
      <c r="Q13">
        <f t="shared" si="0"/>
        <v>0.22727272727272727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838A-A142-4154-A241-9C21E64E7180}">
  <sheetPr codeName="Sheet2"/>
  <dimension ref="A1:AD13"/>
  <sheetViews>
    <sheetView topLeftCell="U1" workbookViewId="0">
      <selection activeCell="AC5" sqref="AC5"/>
    </sheetView>
  </sheetViews>
  <sheetFormatPr defaultRowHeight="14.4" x14ac:dyDescent="0.3"/>
  <cols>
    <col min="1" max="1" width="14.44140625" customWidth="1"/>
    <col min="2" max="2" width="23.109375" customWidth="1"/>
    <col min="15" max="15" width="17" customWidth="1"/>
    <col min="16" max="16" width="31.44140625" customWidth="1"/>
    <col min="17" max="17" width="38.109375" customWidth="1"/>
    <col min="18" max="18" width="17.33203125" customWidth="1"/>
    <col min="19" max="19" width="14.88671875" customWidth="1"/>
    <col min="20" max="20" width="21.5546875" customWidth="1"/>
    <col min="21" max="21" width="15.6640625" customWidth="1"/>
    <col min="22" max="22" width="13.21875" customWidth="1"/>
    <col min="23" max="23" width="15.88671875" customWidth="1"/>
    <col min="24" max="24" width="12.77734375" customWidth="1"/>
    <col min="25" max="25" width="12.6640625" customWidth="1"/>
    <col min="26" max="26" width="14.77734375" customWidth="1"/>
    <col min="27" max="27" width="17.77734375" customWidth="1"/>
    <col min="28" max="28" width="15.5546875" customWidth="1"/>
    <col min="29" max="29" width="13.88671875" customWidth="1"/>
    <col min="30" max="30" width="19.88671875" customWidth="1"/>
  </cols>
  <sheetData>
    <row r="1" spans="1:30" x14ac:dyDescent="0.3">
      <c r="A1" t="s">
        <v>42</v>
      </c>
      <c r="B1" t="s">
        <v>43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</row>
    <row r="2" spans="1:30" x14ac:dyDescent="0.3">
      <c r="A2" t="s">
        <v>22</v>
      </c>
      <c r="B2" s="1" t="s">
        <v>6</v>
      </c>
      <c r="C2" t="s">
        <v>1</v>
      </c>
      <c r="D2" t="s">
        <v>6</v>
      </c>
      <c r="E2" t="s">
        <v>10</v>
      </c>
      <c r="F2" t="s">
        <v>8</v>
      </c>
      <c r="G2" t="s">
        <v>11</v>
      </c>
      <c r="H2" t="s">
        <v>13</v>
      </c>
      <c r="I2" t="s">
        <v>5</v>
      </c>
      <c r="J2" t="s">
        <v>3</v>
      </c>
      <c r="K2" t="s">
        <v>9</v>
      </c>
      <c r="L2" t="s">
        <v>2</v>
      </c>
      <c r="M2" t="s">
        <v>30</v>
      </c>
      <c r="N2" t="s">
        <v>14</v>
      </c>
      <c r="O2" t="str">
        <f>INDEX(Sheet1!C2:N2,1)</f>
        <v>B</v>
      </c>
      <c r="P2" t="str">
        <f>INDEX(Sheet1!A$2:A$13, MATCH(O2, Sheet1!O$2:O$13, 0))</f>
        <v>Sibel</v>
      </c>
      <c r="Q2" t="str">
        <f>P2</f>
        <v>Sibel</v>
      </c>
      <c r="R2" t="str">
        <f>IFERROR(
   INDEX($A$2:$A$13,
      MATCH(INDEX($O$2:$O$13, MATCH(Q2, $A$2:$A$13, 0)),
            $B$2:$B$13, 0)
   ),
"")</f>
        <v>Sibel</v>
      </c>
      <c r="S2" t="str">
        <f>IFERROR(
   INDEX($A$2:$A$13,
      MATCH(INDEX($O$2:$O$13, MATCH(R2, $A$2:$A$13, 0)),
            $B$2:$B$13, 0)
   ),
"")</f>
        <v>Sibel</v>
      </c>
      <c r="T2" t="str">
        <f>IFERROR(
   INDEX($A$2:$A$13,
      MATCH(INDEX($O$2:$O$13, MATCH(S2, $A$2:$A$13, 0)),
            $B$2:$B$13, 0)
   ),
"")</f>
        <v>Sibel</v>
      </c>
      <c r="U2" t="str">
        <f>IFERROR(
   INDEX($A$2:$A$13,
      MATCH(INDEX($O$2:$O$13, MATCH(T2, $A$2:$A$13, 0)),
            $B$2:$B$13, 0)
   ),
"")</f>
        <v>Sibel</v>
      </c>
      <c r="V2" t="str">
        <f>IFERROR(
   INDEX($A$2:$A$13,
      MATCH(INDEX($O$2:$O$13, MATCH(U2, $A$2:$A$13, 0)),
            $B$2:$B$13, 0)
   ),
"")</f>
        <v>Sibel</v>
      </c>
      <c r="W2" t="str">
        <f>IFERROR(
   INDEX($A$2:$A$13,
      MATCH(INDEX($O$2:$O$13, MATCH(V2, $A$2:$A$13, 0)),
            $B$2:$B$13, 0)
   ),
"")</f>
        <v>Sibel</v>
      </c>
      <c r="X2" t="str">
        <f>IFERROR(
   INDEX($A$2:$A$13,
      MATCH(INDEX($O$2:$O$13, MATCH(W2, $A$2:$A$13, 0)),
            $B$2:$B$13, 0)
   ),
"")</f>
        <v>Sibel</v>
      </c>
      <c r="Y2" t="str">
        <f>IFERROR(
   INDEX($A$2:$A$13,
      MATCH(INDEX($O$2:$O$13, MATCH(X2, $A$2:$A$13, 0)),
            $B$2:$B$13, 0)
   ),
"")</f>
        <v>Sibel</v>
      </c>
      <c r="Z2" t="str">
        <f>IFERROR(
   INDEX($A$2:$A$13,
      MATCH(INDEX($O$2:$O$13, MATCH(Y2, $A$2:$A$13, 0)),
            $B$2:$B$13, 0)
   ),
"")</f>
        <v>Sibel</v>
      </c>
      <c r="AA2" t="str">
        <f>IFERROR(
   INDEX($A$2:$A$13,
      MATCH(INDEX($O$2:$O$13, MATCH(Z2, $A$2:$A$13, 0)),
            $B$2:$B$13, 0)
   ),
"")</f>
        <v>Sibel</v>
      </c>
      <c r="AB2" t="str">
        <f>IFERROR(
   INDEX($A$2:$A$13,
      MATCH(INDEX($O$2:$O$13, MATCH(AA2, $A$2:$A$13, 0)),
            $B$2:$B$13, 0)
   ),
"")</f>
        <v>Sibel</v>
      </c>
      <c r="AC2" t="str">
        <f>_xlfn.LET(
  _xlpm.me, A2,
  _xlpm.hops, Q2:AB2,
  _xlpm.pos, _xlfn.XMATCH(_xlpm.me, _xlpm.hops),
  IF(ISNUMBER(_xlpm.pos), _xlpm.pos, "")
)</f>
        <v/>
      </c>
      <c r="AD2" t="str">
        <f>IF(AC2="", "No cycle found",
   IF(AC2=1, "Self-cycle (Pareto OK)", "Multi-student cycle (Not Pareto-efficient)")
)</f>
        <v>No cycle found</v>
      </c>
    </row>
    <row r="3" spans="1:30" x14ac:dyDescent="0.3">
      <c r="A3" t="s">
        <v>23</v>
      </c>
      <c r="B3" s="1" t="s">
        <v>2</v>
      </c>
      <c r="C3" t="s">
        <v>2</v>
      </c>
      <c r="D3" t="s">
        <v>8</v>
      </c>
      <c r="E3" t="s">
        <v>9</v>
      </c>
      <c r="F3" t="s">
        <v>5</v>
      </c>
      <c r="G3" t="s">
        <v>13</v>
      </c>
      <c r="H3" t="s">
        <v>14</v>
      </c>
      <c r="I3" t="s">
        <v>11</v>
      </c>
      <c r="J3" t="s">
        <v>10</v>
      </c>
      <c r="K3" t="s">
        <v>1</v>
      </c>
      <c r="L3" t="s">
        <v>6</v>
      </c>
      <c r="M3" t="s">
        <v>3</v>
      </c>
      <c r="N3" t="s">
        <v>30</v>
      </c>
      <c r="O3" t="str">
        <f>INDEX(Sheet1!C3:N3,1)</f>
        <v>G</v>
      </c>
      <c r="P3" t="str">
        <f>INDEX(Sheet1!A$2:A$13, MATCH(O3, Sheet1!O$2:O$13, 0))</f>
        <v>Mirzakalonboy</v>
      </c>
      <c r="Q3" t="str">
        <f t="shared" ref="Q3:Q13" si="0">P3</f>
        <v>Mirzakalonboy</v>
      </c>
      <c r="R3" t="str">
        <f t="shared" ref="R3:AB14" si="1">IFERROR(
   INDEX($A$2:$A$13,
      MATCH(INDEX($O$2:$O$13, MATCH(Q3, $A$2:$A$13, 0)),
            $B$2:$B$13, 0)
   ),
"")</f>
        <v>Mirzakalonboy</v>
      </c>
      <c r="S3" t="str">
        <f t="shared" si="1"/>
        <v>Mirzakalonboy</v>
      </c>
      <c r="T3" t="str">
        <f t="shared" si="1"/>
        <v>Mirzakalonboy</v>
      </c>
      <c r="U3" t="str">
        <f t="shared" si="1"/>
        <v>Mirzakalonboy</v>
      </c>
      <c r="V3" t="str">
        <f t="shared" si="1"/>
        <v>Mirzakalonboy</v>
      </c>
      <c r="W3" t="str">
        <f t="shared" si="1"/>
        <v>Mirzakalonboy</v>
      </c>
      <c r="X3" t="str">
        <f t="shared" si="1"/>
        <v>Mirzakalonboy</v>
      </c>
      <c r="Y3" t="str">
        <f t="shared" si="1"/>
        <v>Mirzakalonboy</v>
      </c>
      <c r="Z3" t="str">
        <f t="shared" si="1"/>
        <v>Mirzakalonboy</v>
      </c>
      <c r="AA3" t="str">
        <f t="shared" si="1"/>
        <v>Mirzakalonboy</v>
      </c>
      <c r="AB3" t="str">
        <f t="shared" si="1"/>
        <v>Mirzakalonboy</v>
      </c>
      <c r="AC3">
        <f t="shared" ref="AC3:AC13" si="2">_xlfn.LET(
  _xlpm.me, A3,
  _xlpm.hops, Q3:AB3,
  _xlpm.pos, _xlfn.XMATCH(_xlpm.me, _xlpm.hops),
  IF(ISNUMBER(_xlpm.pos), _xlpm.pos, "")
)</f>
        <v>1</v>
      </c>
      <c r="AD3" t="str">
        <f t="shared" ref="AD3:AD14" si="3">IF(AC3="", "No cycle found",
   IF(AC3=1, "Self-cycle (Pareto OK)", "Multi-student cycle (Not Pareto-efficient)")
)</f>
        <v>Self-cycle (Pareto OK)</v>
      </c>
    </row>
    <row r="4" spans="1:30" x14ac:dyDescent="0.3">
      <c r="A4" t="s">
        <v>41</v>
      </c>
      <c r="B4" s="1" t="s">
        <v>9</v>
      </c>
      <c r="C4" t="s">
        <v>3</v>
      </c>
      <c r="D4" t="s">
        <v>9</v>
      </c>
      <c r="E4" t="s">
        <v>10</v>
      </c>
      <c r="F4" t="s">
        <v>8</v>
      </c>
      <c r="G4" t="s">
        <v>5</v>
      </c>
      <c r="H4" t="s">
        <v>14</v>
      </c>
      <c r="I4" t="s">
        <v>13</v>
      </c>
      <c r="J4" t="s">
        <v>1</v>
      </c>
      <c r="K4" t="s">
        <v>30</v>
      </c>
      <c r="L4" t="s">
        <v>6</v>
      </c>
      <c r="M4" t="s">
        <v>11</v>
      </c>
      <c r="N4" t="s">
        <v>2</v>
      </c>
      <c r="O4" t="str">
        <f>INDEX(Sheet1!C4:N4,1)</f>
        <v>E</v>
      </c>
      <c r="P4" t="str">
        <f>INDEX(Sheet1!A$2:A$13, MATCH(O4, Sheet1!O$2:O$13, 0))</f>
        <v>Indynage</v>
      </c>
      <c r="Q4" t="str">
        <f t="shared" si="0"/>
        <v>Indynage</v>
      </c>
      <c r="R4" t="str">
        <f t="shared" si="1"/>
        <v>Indynage</v>
      </c>
      <c r="S4" t="str">
        <f t="shared" si="1"/>
        <v>Indynage</v>
      </c>
      <c r="T4" t="str">
        <f t="shared" si="1"/>
        <v>Indynage</v>
      </c>
      <c r="U4" t="str">
        <f t="shared" si="1"/>
        <v>Indynage</v>
      </c>
      <c r="V4" t="str">
        <f t="shared" si="1"/>
        <v>Indynage</v>
      </c>
      <c r="W4" t="str">
        <f t="shared" si="1"/>
        <v>Indynage</v>
      </c>
      <c r="X4" t="str">
        <f t="shared" si="1"/>
        <v>Indynage</v>
      </c>
      <c r="Y4" t="str">
        <f t="shared" si="1"/>
        <v>Indynage</v>
      </c>
      <c r="Z4" t="str">
        <f t="shared" si="1"/>
        <v>Indynage</v>
      </c>
      <c r="AA4" t="str">
        <f t="shared" si="1"/>
        <v>Indynage</v>
      </c>
      <c r="AB4" t="str">
        <f t="shared" si="1"/>
        <v>Indynage</v>
      </c>
      <c r="AC4" t="str">
        <f>_xlfn.LET(
  _xlpm.me, A4,
  _xlpm.hops, Q4:AB4,
  _xlpm.pos, _xlfn.XMATCH(_xlpm.me, _xlpm.hops),
  IF(ISNUMBER(_xlpm.pos), _xlpm.pos, "")
)</f>
        <v/>
      </c>
      <c r="AD4" t="str">
        <f t="shared" si="3"/>
        <v>No cycle found</v>
      </c>
    </row>
    <row r="5" spans="1:30" x14ac:dyDescent="0.3">
      <c r="A5" t="s">
        <v>24</v>
      </c>
      <c r="B5" s="1" t="s">
        <v>1</v>
      </c>
      <c r="C5" t="s">
        <v>1</v>
      </c>
      <c r="D5" t="s">
        <v>5</v>
      </c>
      <c r="E5" t="s">
        <v>6</v>
      </c>
      <c r="F5" t="s">
        <v>8</v>
      </c>
      <c r="G5" t="s">
        <v>14</v>
      </c>
      <c r="H5" t="s">
        <v>13</v>
      </c>
      <c r="I5" t="s">
        <v>3</v>
      </c>
      <c r="J5" t="s">
        <v>9</v>
      </c>
      <c r="K5" t="s">
        <v>11</v>
      </c>
      <c r="L5" t="s">
        <v>2</v>
      </c>
      <c r="M5" t="s">
        <v>10</v>
      </c>
      <c r="N5" t="s">
        <v>30</v>
      </c>
      <c r="O5" t="str">
        <f>INDEX(Sheet1!C5:N5,1)</f>
        <v>B</v>
      </c>
      <c r="P5" t="str">
        <f>INDEX(Sheet1!A$2:A$13, MATCH(O5, Sheet1!O$2:O$13, 0))</f>
        <v>Sibel</v>
      </c>
      <c r="Q5" t="str">
        <f t="shared" si="0"/>
        <v>Sibel</v>
      </c>
      <c r="R5" t="str">
        <f t="shared" si="1"/>
        <v>Sibel</v>
      </c>
      <c r="S5" t="str">
        <f t="shared" si="1"/>
        <v>Sibel</v>
      </c>
      <c r="T5" t="str">
        <f t="shared" si="1"/>
        <v>Sibel</v>
      </c>
      <c r="U5" t="str">
        <f t="shared" si="1"/>
        <v>Sibel</v>
      </c>
      <c r="V5" t="str">
        <f t="shared" si="1"/>
        <v>Sibel</v>
      </c>
      <c r="W5" t="str">
        <f t="shared" si="1"/>
        <v>Sibel</v>
      </c>
      <c r="X5" t="str">
        <f t="shared" si="1"/>
        <v>Sibel</v>
      </c>
      <c r="Y5" t="str">
        <f t="shared" si="1"/>
        <v>Sibel</v>
      </c>
      <c r="Z5" t="str">
        <f t="shared" si="1"/>
        <v>Sibel</v>
      </c>
      <c r="AA5" t="str">
        <f t="shared" si="1"/>
        <v>Sibel</v>
      </c>
      <c r="AB5" t="str">
        <f t="shared" si="1"/>
        <v>Sibel</v>
      </c>
      <c r="AC5">
        <f t="shared" si="2"/>
        <v>1</v>
      </c>
      <c r="AD5" t="str">
        <f t="shared" si="3"/>
        <v>Self-cycle (Pareto OK)</v>
      </c>
    </row>
    <row r="6" spans="1:30" x14ac:dyDescent="0.3">
      <c r="A6" t="s">
        <v>26</v>
      </c>
      <c r="B6" s="1" t="s">
        <v>10</v>
      </c>
      <c r="C6" t="s">
        <v>6</v>
      </c>
      <c r="D6" t="s">
        <v>10</v>
      </c>
      <c r="E6" t="s">
        <v>11</v>
      </c>
      <c r="F6" t="s">
        <v>3</v>
      </c>
      <c r="G6" t="s">
        <v>14</v>
      </c>
      <c r="H6" t="s">
        <v>30</v>
      </c>
      <c r="I6" t="s">
        <v>10</v>
      </c>
      <c r="J6" t="s">
        <v>2</v>
      </c>
      <c r="K6" t="s">
        <v>1</v>
      </c>
      <c r="L6" t="s">
        <v>13</v>
      </c>
      <c r="M6" t="s">
        <v>5</v>
      </c>
      <c r="N6" t="s">
        <v>9</v>
      </c>
      <c r="O6" t="str">
        <f>INDEX(Sheet1!C6:N6,1)</f>
        <v>D</v>
      </c>
      <c r="P6" t="str">
        <f>INDEX(Sheet1!A$2:A$13, MATCH(O6, Sheet1!O$2:O$13, 0))</f>
        <v>Joni</v>
      </c>
      <c r="Q6" t="str">
        <f t="shared" si="0"/>
        <v>Joni</v>
      </c>
      <c r="R6" t="str">
        <f t="shared" si="1"/>
        <v>Sibel</v>
      </c>
      <c r="S6" t="str">
        <f t="shared" si="1"/>
        <v>Sibel</v>
      </c>
      <c r="T6" t="str">
        <f t="shared" si="1"/>
        <v>Sibel</v>
      </c>
      <c r="U6" t="str">
        <f t="shared" si="1"/>
        <v>Sibel</v>
      </c>
      <c r="V6" t="str">
        <f t="shared" si="1"/>
        <v>Sibel</v>
      </c>
      <c r="W6" t="str">
        <f t="shared" si="1"/>
        <v>Sibel</v>
      </c>
      <c r="X6" t="str">
        <f t="shared" si="1"/>
        <v>Sibel</v>
      </c>
      <c r="Y6" t="str">
        <f t="shared" si="1"/>
        <v>Sibel</v>
      </c>
      <c r="Z6" t="str">
        <f t="shared" si="1"/>
        <v>Sibel</v>
      </c>
      <c r="AA6" t="str">
        <f t="shared" si="1"/>
        <v>Sibel</v>
      </c>
      <c r="AB6" t="str">
        <f t="shared" si="1"/>
        <v>Sibel</v>
      </c>
      <c r="AC6" t="str">
        <f t="shared" si="2"/>
        <v/>
      </c>
      <c r="AD6" t="str">
        <f t="shared" si="3"/>
        <v>No cycle found</v>
      </c>
    </row>
    <row r="7" spans="1:30" x14ac:dyDescent="0.3">
      <c r="A7" t="s">
        <v>25</v>
      </c>
      <c r="B7" s="1" t="s">
        <v>8</v>
      </c>
      <c r="C7" t="s">
        <v>11</v>
      </c>
      <c r="D7" t="s">
        <v>8</v>
      </c>
      <c r="E7" t="s">
        <v>6</v>
      </c>
      <c r="F7" t="s">
        <v>14</v>
      </c>
      <c r="G7" t="s">
        <v>1</v>
      </c>
      <c r="H7" t="s">
        <v>13</v>
      </c>
      <c r="I7" t="s">
        <v>2</v>
      </c>
      <c r="J7" t="s">
        <v>5</v>
      </c>
      <c r="K7" t="s">
        <v>30</v>
      </c>
      <c r="L7" t="s">
        <v>3</v>
      </c>
      <c r="M7" t="s">
        <v>9</v>
      </c>
      <c r="N7" t="s">
        <v>10</v>
      </c>
      <c r="O7" t="str">
        <f>INDEX(Sheet1!C7:N7,1)</f>
        <v>F</v>
      </c>
      <c r="P7" t="str">
        <f>INDEX(Sheet1!A$2:A$13, MATCH(O7, Sheet1!O$2:O$13, 0))</f>
        <v>Mayssa</v>
      </c>
      <c r="Q7" t="str">
        <f t="shared" si="0"/>
        <v>Mayssa</v>
      </c>
      <c r="R7" t="str">
        <f t="shared" si="1"/>
        <v>Mayssa</v>
      </c>
      <c r="S7" t="str">
        <f t="shared" si="1"/>
        <v>Mayssa</v>
      </c>
      <c r="T7" t="str">
        <f t="shared" si="1"/>
        <v>Mayssa</v>
      </c>
      <c r="U7" t="str">
        <f t="shared" si="1"/>
        <v>Mayssa</v>
      </c>
      <c r="V7" t="str">
        <f t="shared" si="1"/>
        <v>Mayssa</v>
      </c>
      <c r="W7" t="str">
        <f t="shared" si="1"/>
        <v>Mayssa</v>
      </c>
      <c r="X7" t="str">
        <f t="shared" si="1"/>
        <v>Mayssa</v>
      </c>
      <c r="Y7" t="str">
        <f t="shared" si="1"/>
        <v>Mayssa</v>
      </c>
      <c r="Z7" t="str">
        <f t="shared" si="1"/>
        <v>Mayssa</v>
      </c>
      <c r="AA7" t="str">
        <f t="shared" si="1"/>
        <v>Mayssa</v>
      </c>
      <c r="AB7" t="str">
        <f t="shared" si="1"/>
        <v>Mayssa</v>
      </c>
      <c r="AC7" t="str">
        <f t="shared" si="2"/>
        <v/>
      </c>
      <c r="AD7" t="str">
        <f t="shared" si="3"/>
        <v>No cycle found</v>
      </c>
    </row>
    <row r="8" spans="1:30" x14ac:dyDescent="0.3">
      <c r="A8" t="s">
        <v>21</v>
      </c>
      <c r="B8" s="1" t="s">
        <v>11</v>
      </c>
      <c r="C8" t="s">
        <v>11</v>
      </c>
      <c r="D8" t="s">
        <v>9</v>
      </c>
      <c r="E8" t="s">
        <v>6</v>
      </c>
      <c r="F8" t="s">
        <v>5</v>
      </c>
      <c r="G8" t="s">
        <v>1</v>
      </c>
      <c r="H8" t="s">
        <v>30</v>
      </c>
      <c r="I8" t="s">
        <v>3</v>
      </c>
      <c r="J8" t="s">
        <v>14</v>
      </c>
      <c r="K8" t="s">
        <v>2</v>
      </c>
      <c r="L8" t="s">
        <v>13</v>
      </c>
      <c r="M8" t="s">
        <v>8</v>
      </c>
      <c r="N8" t="s">
        <v>10</v>
      </c>
      <c r="O8" t="str">
        <f>INDEX(Sheet1!C8:N8,1)</f>
        <v>F</v>
      </c>
      <c r="P8" t="str">
        <f>INDEX(Sheet1!A$2:A$13, MATCH(O8, Sheet1!O$2:O$13, 0))</f>
        <v>Mayssa</v>
      </c>
      <c r="Q8" t="str">
        <f t="shared" si="0"/>
        <v>Mayssa</v>
      </c>
      <c r="R8" t="str">
        <f t="shared" si="1"/>
        <v>Mayssa</v>
      </c>
      <c r="S8" t="str">
        <f t="shared" si="1"/>
        <v>Mayssa</v>
      </c>
      <c r="T8" t="str">
        <f t="shared" si="1"/>
        <v>Mayssa</v>
      </c>
      <c r="U8" t="str">
        <f t="shared" si="1"/>
        <v>Mayssa</v>
      </c>
      <c r="V8" t="str">
        <f t="shared" si="1"/>
        <v>Mayssa</v>
      </c>
      <c r="W8" t="str">
        <f t="shared" si="1"/>
        <v>Mayssa</v>
      </c>
      <c r="X8" t="str">
        <f t="shared" si="1"/>
        <v>Mayssa</v>
      </c>
      <c r="Y8" t="str">
        <f t="shared" si="1"/>
        <v>Mayssa</v>
      </c>
      <c r="Z8" t="str">
        <f t="shared" si="1"/>
        <v>Mayssa</v>
      </c>
      <c r="AA8" t="str">
        <f t="shared" si="1"/>
        <v>Mayssa</v>
      </c>
      <c r="AB8" t="str">
        <f t="shared" si="1"/>
        <v>Mayssa</v>
      </c>
      <c r="AC8">
        <f t="shared" si="2"/>
        <v>1</v>
      </c>
      <c r="AD8" t="str">
        <f t="shared" si="3"/>
        <v>Self-cycle (Pareto OK)</v>
      </c>
    </row>
    <row r="9" spans="1:30" x14ac:dyDescent="0.3">
      <c r="A9" t="s">
        <v>20</v>
      </c>
      <c r="B9" s="1" t="s">
        <v>13</v>
      </c>
      <c r="C9" t="s">
        <v>13</v>
      </c>
      <c r="D9" t="s">
        <v>1</v>
      </c>
      <c r="E9" t="s">
        <v>2</v>
      </c>
      <c r="F9" t="s">
        <v>8</v>
      </c>
      <c r="G9" t="s">
        <v>5</v>
      </c>
      <c r="H9" t="s">
        <v>6</v>
      </c>
      <c r="I9" t="s">
        <v>30</v>
      </c>
      <c r="J9" t="s">
        <v>11</v>
      </c>
      <c r="K9" t="s">
        <v>14</v>
      </c>
      <c r="L9" t="s">
        <v>9</v>
      </c>
      <c r="M9" t="s">
        <v>3</v>
      </c>
      <c r="N9" t="s">
        <v>10</v>
      </c>
      <c r="O9" t="str">
        <f>INDEX(Sheet1!C9:N9,1)</f>
        <v>A</v>
      </c>
      <c r="P9" t="str">
        <f>INDEX(Sheet1!A$2:A$13, MATCH(O9, Sheet1!O$2:O$13, 0))</f>
        <v>Valentine</v>
      </c>
      <c r="Q9" t="str">
        <f t="shared" si="0"/>
        <v>Valentine</v>
      </c>
      <c r="R9" t="str">
        <f t="shared" si="1"/>
        <v>Valentine</v>
      </c>
      <c r="S9" t="str">
        <f t="shared" si="1"/>
        <v>Valentine</v>
      </c>
      <c r="T9" t="str">
        <f t="shared" si="1"/>
        <v>Valentine</v>
      </c>
      <c r="U9" t="str">
        <f t="shared" si="1"/>
        <v>Valentine</v>
      </c>
      <c r="V9" t="str">
        <f t="shared" si="1"/>
        <v>Valentine</v>
      </c>
      <c r="W9" t="str">
        <f t="shared" si="1"/>
        <v>Valentine</v>
      </c>
      <c r="X9" t="str">
        <f t="shared" si="1"/>
        <v>Valentine</v>
      </c>
      <c r="Y9" t="str">
        <f t="shared" si="1"/>
        <v>Valentine</v>
      </c>
      <c r="Z9" t="str">
        <f t="shared" si="1"/>
        <v>Valentine</v>
      </c>
      <c r="AA9" t="str">
        <f t="shared" si="1"/>
        <v>Valentine</v>
      </c>
      <c r="AB9" t="str">
        <f t="shared" si="1"/>
        <v>Valentine</v>
      </c>
      <c r="AC9">
        <f t="shared" si="2"/>
        <v>1</v>
      </c>
      <c r="AD9" t="str">
        <f t="shared" si="3"/>
        <v>Self-cycle (Pareto OK)</v>
      </c>
    </row>
    <row r="10" spans="1:30" x14ac:dyDescent="0.3">
      <c r="A10" t="s">
        <v>19</v>
      </c>
      <c r="B10" s="1" t="s">
        <v>14</v>
      </c>
      <c r="C10" t="s">
        <v>1</v>
      </c>
      <c r="D10" t="s">
        <v>14</v>
      </c>
      <c r="E10" t="s">
        <v>13</v>
      </c>
      <c r="F10" t="s">
        <v>3</v>
      </c>
      <c r="G10" t="s">
        <v>10</v>
      </c>
      <c r="H10" t="s">
        <v>5</v>
      </c>
      <c r="I10" t="s">
        <v>8</v>
      </c>
      <c r="J10" t="s">
        <v>11</v>
      </c>
      <c r="K10" t="s">
        <v>2</v>
      </c>
      <c r="L10" t="s">
        <v>6</v>
      </c>
      <c r="M10" t="s">
        <v>30</v>
      </c>
      <c r="N10" t="s">
        <v>9</v>
      </c>
      <c r="O10" t="str">
        <f>INDEX(Sheet1!C10:N10,1)</f>
        <v>B</v>
      </c>
      <c r="P10" t="str">
        <f>INDEX(Sheet1!A$2:A$13, MATCH(O10, Sheet1!O$2:O$13, 0))</f>
        <v>Sibel</v>
      </c>
      <c r="Q10" t="str">
        <f t="shared" si="0"/>
        <v>Sibel</v>
      </c>
      <c r="R10" t="str">
        <f t="shared" si="1"/>
        <v>Sibel</v>
      </c>
      <c r="S10" t="str">
        <f t="shared" si="1"/>
        <v>Sibel</v>
      </c>
      <c r="T10" t="str">
        <f t="shared" si="1"/>
        <v>Sibel</v>
      </c>
      <c r="U10" t="str">
        <f t="shared" si="1"/>
        <v>Sibel</v>
      </c>
      <c r="V10" t="str">
        <f t="shared" si="1"/>
        <v>Sibel</v>
      </c>
      <c r="W10" t="str">
        <f t="shared" si="1"/>
        <v>Sibel</v>
      </c>
      <c r="X10" t="str">
        <f t="shared" si="1"/>
        <v>Sibel</v>
      </c>
      <c r="Y10" t="str">
        <f t="shared" si="1"/>
        <v>Sibel</v>
      </c>
      <c r="Z10" t="str">
        <f t="shared" si="1"/>
        <v>Sibel</v>
      </c>
      <c r="AA10" t="str">
        <f t="shared" si="1"/>
        <v>Sibel</v>
      </c>
      <c r="AB10" t="str">
        <f t="shared" si="1"/>
        <v>Sibel</v>
      </c>
      <c r="AC10" t="str">
        <f t="shared" si="2"/>
        <v/>
      </c>
      <c r="AD10" t="str">
        <f t="shared" si="3"/>
        <v>No cycle found</v>
      </c>
    </row>
    <row r="11" spans="1:30" x14ac:dyDescent="0.3">
      <c r="A11" t="s">
        <v>18</v>
      </c>
      <c r="B11" s="1" t="s">
        <v>3</v>
      </c>
      <c r="C11" t="s">
        <v>3</v>
      </c>
      <c r="D11" t="s">
        <v>6</v>
      </c>
      <c r="E11" t="s">
        <v>30</v>
      </c>
      <c r="F11" t="s">
        <v>13</v>
      </c>
      <c r="G11" t="s">
        <v>5</v>
      </c>
      <c r="H11" t="s">
        <v>14</v>
      </c>
      <c r="I11" t="s">
        <v>11</v>
      </c>
      <c r="J11" t="s">
        <v>8</v>
      </c>
      <c r="K11" t="s">
        <v>1</v>
      </c>
      <c r="L11" t="s">
        <v>2</v>
      </c>
      <c r="M11" t="s">
        <v>9</v>
      </c>
      <c r="N11" t="s">
        <v>10</v>
      </c>
      <c r="O11" t="str">
        <f>INDEX(Sheet1!C11:N11,1)</f>
        <v>E</v>
      </c>
      <c r="P11" t="str">
        <f>INDEX(Sheet1!A$2:A$13, MATCH(O11, Sheet1!O$2:O$13, 0))</f>
        <v>Indynage</v>
      </c>
      <c r="Q11" t="str">
        <f t="shared" si="0"/>
        <v>Indynage</v>
      </c>
      <c r="R11" t="str">
        <f t="shared" si="1"/>
        <v>Indynage</v>
      </c>
      <c r="S11" t="str">
        <f t="shared" si="1"/>
        <v>Indynage</v>
      </c>
      <c r="T11" t="str">
        <f t="shared" si="1"/>
        <v>Indynage</v>
      </c>
      <c r="U11" t="str">
        <f t="shared" si="1"/>
        <v>Indynage</v>
      </c>
      <c r="V11" t="str">
        <f t="shared" si="1"/>
        <v>Indynage</v>
      </c>
      <c r="W11" t="str">
        <f t="shared" si="1"/>
        <v>Indynage</v>
      </c>
      <c r="X11" t="str">
        <f t="shared" si="1"/>
        <v>Indynage</v>
      </c>
      <c r="Y11" t="str">
        <f t="shared" si="1"/>
        <v>Indynage</v>
      </c>
      <c r="Z11" t="str">
        <f t="shared" si="1"/>
        <v>Indynage</v>
      </c>
      <c r="AA11" t="str">
        <f t="shared" si="1"/>
        <v>Indynage</v>
      </c>
      <c r="AB11" t="str">
        <f t="shared" si="1"/>
        <v>Indynage</v>
      </c>
      <c r="AC11">
        <f t="shared" si="2"/>
        <v>1</v>
      </c>
      <c r="AD11" t="str">
        <f t="shared" si="3"/>
        <v>Self-cycle (Pareto OK)</v>
      </c>
    </row>
    <row r="12" spans="1:30" x14ac:dyDescent="0.3">
      <c r="A12" t="s">
        <v>17</v>
      </c>
      <c r="B12" s="1" t="s">
        <v>5</v>
      </c>
      <c r="C12" t="s">
        <v>5</v>
      </c>
      <c r="D12" t="s">
        <v>11</v>
      </c>
      <c r="E12" t="s">
        <v>1</v>
      </c>
      <c r="F12" t="s">
        <v>3</v>
      </c>
      <c r="G12" t="s">
        <v>9</v>
      </c>
      <c r="H12" t="s">
        <v>13</v>
      </c>
      <c r="I12" t="s">
        <v>8</v>
      </c>
      <c r="J12" t="s">
        <v>14</v>
      </c>
      <c r="K12" t="s">
        <v>2</v>
      </c>
      <c r="L12" t="s">
        <v>10</v>
      </c>
      <c r="M12" t="s">
        <v>6</v>
      </c>
      <c r="N12" t="s">
        <v>30</v>
      </c>
      <c r="O12" t="str">
        <f>INDEX(Sheet1!C12:N12,1)</f>
        <v>H</v>
      </c>
      <c r="P12" t="str">
        <f>INDEX(Sheet1!A$2:A$13, MATCH(O12, Sheet1!O$2:O$13, 0))</f>
        <v>Claudia</v>
      </c>
      <c r="Q12" t="str">
        <f t="shared" si="0"/>
        <v>Claudia</v>
      </c>
      <c r="R12" t="str">
        <f t="shared" si="1"/>
        <v>Claudia</v>
      </c>
      <c r="S12" t="str">
        <f t="shared" si="1"/>
        <v>Claudia</v>
      </c>
      <c r="T12" t="str">
        <f t="shared" si="1"/>
        <v>Claudia</v>
      </c>
      <c r="U12" t="str">
        <f t="shared" si="1"/>
        <v>Claudia</v>
      </c>
      <c r="V12" t="str">
        <f t="shared" si="1"/>
        <v>Claudia</v>
      </c>
      <c r="W12" t="str">
        <f>IFERROR(
   INDEX($A$2:$A$13,
      MATCH(INDEX($O$2:$O$13, MATCH(V12, $A$2:$A$13, 0)),
            $B$2:$B$13, 0)
   ),
"")</f>
        <v>Claudia</v>
      </c>
      <c r="X12" t="str">
        <f t="shared" ref="X12:AB13" si="4">IFERROR(
   INDEX($A$2:$A$13,
      MATCH(INDEX($O$2:$O$13, MATCH(W12, $A$2:$A$13, 0)),
            $B$2:$B$13, 0)
   ),
"")</f>
        <v>Claudia</v>
      </c>
      <c r="Y12" t="str">
        <f t="shared" si="4"/>
        <v>Claudia</v>
      </c>
      <c r="Z12" t="str">
        <f t="shared" si="4"/>
        <v>Claudia</v>
      </c>
      <c r="AA12" t="str">
        <f t="shared" si="4"/>
        <v>Claudia</v>
      </c>
      <c r="AB12" t="str">
        <f t="shared" si="4"/>
        <v>Claudia</v>
      </c>
      <c r="AC12">
        <f t="shared" si="2"/>
        <v>1</v>
      </c>
      <c r="AD12" t="str">
        <f t="shared" si="3"/>
        <v>Self-cycle (Pareto OK)</v>
      </c>
    </row>
    <row r="13" spans="1:30" x14ac:dyDescent="0.3">
      <c r="A13" t="s">
        <v>16</v>
      </c>
      <c r="B13" s="1" t="s">
        <v>40</v>
      </c>
      <c r="C13" t="s">
        <v>1</v>
      </c>
      <c r="D13" t="s">
        <v>30</v>
      </c>
      <c r="E13" t="s">
        <v>13</v>
      </c>
      <c r="F13" t="s">
        <v>8</v>
      </c>
      <c r="G13" t="s">
        <v>11</v>
      </c>
      <c r="H13" t="s">
        <v>6</v>
      </c>
      <c r="I13" t="s">
        <v>10</v>
      </c>
      <c r="J13" t="s">
        <v>3</v>
      </c>
      <c r="K13" t="s">
        <v>2</v>
      </c>
      <c r="L13" t="s">
        <v>14</v>
      </c>
      <c r="M13" t="s">
        <v>9</v>
      </c>
      <c r="N13" t="s">
        <v>5</v>
      </c>
      <c r="O13" t="str">
        <f>INDEX(Sheet1!C13:N13,1)</f>
        <v>B</v>
      </c>
      <c r="P13" t="str">
        <f>INDEX(Sheet1!A$2:A$13, MATCH(O13, Sheet1!O$2:O$13, 0))</f>
        <v>Sibel</v>
      </c>
      <c r="Q13" t="str">
        <f t="shared" si="0"/>
        <v>Sibel</v>
      </c>
      <c r="R13" t="str">
        <f t="shared" si="1"/>
        <v>Sibel</v>
      </c>
      <c r="S13" t="str">
        <f t="shared" si="1"/>
        <v>Sibel</v>
      </c>
      <c r="T13" t="str">
        <f t="shared" si="1"/>
        <v>Sibel</v>
      </c>
      <c r="U13" t="str">
        <f t="shared" si="1"/>
        <v>Sibel</v>
      </c>
      <c r="V13" t="str">
        <f t="shared" si="1"/>
        <v>Sibel</v>
      </c>
      <c r="W13" t="str">
        <f t="shared" si="1"/>
        <v>Sibel</v>
      </c>
      <c r="X13" t="str">
        <f t="shared" si="4"/>
        <v>Sibel</v>
      </c>
      <c r="Y13" t="str">
        <f t="shared" si="4"/>
        <v>Sibel</v>
      </c>
      <c r="Z13" t="str">
        <f t="shared" si="4"/>
        <v>Sibel</v>
      </c>
      <c r="AA13" t="str">
        <f t="shared" si="4"/>
        <v>Sibel</v>
      </c>
      <c r="AB13" t="str">
        <f t="shared" si="4"/>
        <v>Sibel</v>
      </c>
      <c r="AC13" t="str">
        <f t="shared" si="2"/>
        <v/>
      </c>
      <c r="AD13" t="str">
        <f t="shared" si="3"/>
        <v>No cycle found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8DC7-4674-4CCB-9B83-5C11E1D4A856}">
  <sheetPr codeName="Sheet4"/>
  <dimension ref="AQ6:AQ30"/>
  <sheetViews>
    <sheetView zoomScale="52" workbookViewId="0"/>
  </sheetViews>
  <sheetFormatPr defaultRowHeight="14.4" x14ac:dyDescent="0.3"/>
  <sheetData>
    <row r="6" spans="43:43" x14ac:dyDescent="0.3">
      <c r="AQ6" t="s">
        <v>1</v>
      </c>
    </row>
    <row r="10" spans="43:43" x14ac:dyDescent="0.3">
      <c r="AQ10" t="s">
        <v>2</v>
      </c>
    </row>
    <row r="14" spans="43:43" x14ac:dyDescent="0.3">
      <c r="AQ14" t="s">
        <v>3</v>
      </c>
    </row>
    <row r="18" spans="43:43" x14ac:dyDescent="0.3">
      <c r="AQ18" t="s">
        <v>6</v>
      </c>
    </row>
    <row r="22" spans="43:43" x14ac:dyDescent="0.3">
      <c r="AQ22" t="s">
        <v>11</v>
      </c>
    </row>
    <row r="26" spans="43:43" x14ac:dyDescent="0.3">
      <c r="AQ26" t="s">
        <v>13</v>
      </c>
    </row>
    <row r="30" spans="43:43" x14ac:dyDescent="0.3">
      <c r="AQ30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A1DC-46BB-4DEB-9B44-135481C2CB20}">
  <sheetPr codeName="Sheet3"/>
  <dimension ref="AQ6:AQ30"/>
  <sheetViews>
    <sheetView topLeftCell="A2" workbookViewId="0"/>
  </sheetViews>
  <sheetFormatPr defaultRowHeight="14.4" x14ac:dyDescent="0.3"/>
  <sheetData>
    <row r="6" spans="43:43" x14ac:dyDescent="0.3">
      <c r="AQ6" t="s">
        <v>1</v>
      </c>
    </row>
    <row r="10" spans="43:43" x14ac:dyDescent="0.3">
      <c r="AQ10" t="s">
        <v>2</v>
      </c>
    </row>
    <row r="14" spans="43:43" x14ac:dyDescent="0.3">
      <c r="AQ14" t="s">
        <v>3</v>
      </c>
    </row>
    <row r="18" spans="43:43" x14ac:dyDescent="0.3">
      <c r="AQ18" t="s">
        <v>6</v>
      </c>
    </row>
    <row r="22" spans="43:43" x14ac:dyDescent="0.3">
      <c r="AQ22" t="s">
        <v>11</v>
      </c>
    </row>
    <row r="26" spans="43:43" x14ac:dyDescent="0.3">
      <c r="AQ26" t="s">
        <v>13</v>
      </c>
    </row>
    <row r="30" spans="43:43" x14ac:dyDescent="0.3">
      <c r="AQ30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TTC</vt:lpstr>
      <vt:lpstr>TTC_Graph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Mirzakalonboy Khamidov</dc:creator>
  <cp:lastModifiedBy>Bekdullo Kudratilloev</cp:lastModifiedBy>
  <dcterms:created xsi:type="dcterms:W3CDTF">2015-06-05T18:17:20Z</dcterms:created>
  <dcterms:modified xsi:type="dcterms:W3CDTF">2025-11-22T22:29:41Z</dcterms:modified>
</cp:coreProperties>
</file>